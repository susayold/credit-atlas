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9fbf17fb1649e0" /></Relationships>
</file>

<file path=xl/workbook.xml><?xml version="1.0" encoding="utf-8"?>
<x:workbook xmlns:x="http://schemas.openxmlformats.org/spreadsheetml/2006/main">
  <x:sheets>
    <x:sheet xmlns:r="http://schemas.openxmlformats.org/officeDocument/2006/relationships" name="Summary" sheetId="1" r:id="R5d76fb3d745f436f"/>
    <x:sheet xmlns:r="http://schemas.openxmlformats.org/officeDocument/2006/relationships" name="Period ledger" sheetId="2" r:id="R242159d39ea14c87"/>
    <x:sheet xmlns:r="http://schemas.openxmlformats.org/officeDocument/2006/relationships" name="Data contracts" sheetId="3" r:id="Rd77ece6d59124791"/>
    <x:sheet xmlns:r="http://schemas.openxmlformats.org/officeDocument/2006/relationships" name="Analyst finding" sheetId="4" r:id="R47695ad9fbd746d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Red]($#,##0.00);–"/>
    <x:numFmt numFmtId="202" formatCode="#,##0;[Red](#,##0);–"/>
  </x:numFmts>
  <x:fonts count="9">
    <x:font>
      <x:sz val="11"/>
      <x:name val="Carlito"/>
    </x:font>
    <x:font>
      <x:b/>
      <x:sz val="16"/>
      <x:color rgb="FFFFFFFF"/>
      <x:name val="Aptos Display"/>
    </x:font>
    <x:font>
      <x:sz val="10"/>
      <x:color rgb="FF17324D"/>
      <x:name val="Carlito"/>
    </x:font>
    <x:font>
      <x:b/>
      <x:sz val="11"/>
      <x:color rgb="FFFFFFFF"/>
      <x:name val="Carlito"/>
    </x:font>
    <x:font>
      <x:b/>
      <x:sz val="11"/>
      <x:color rgb="FF17324D"/>
      <x:name val="Carlito"/>
    </x:font>
    <x:font>
      <x:b/>
      <x:sz val="9"/>
      <x:color rgb="FFFFFFFF"/>
      <x:name val="Carlito"/>
    </x:font>
    <x:font>
      <x:sz val="11"/>
      <x:color rgb="FF664D03"/>
      <x:name val="Carlito"/>
    </x:font>
    <x:font>
      <x:sz val="11"/>
      <x:color rgb="FF7A271A"/>
      <x:name val="Carlito"/>
    </x:font>
    <x:font>
      <x:b/>
      <x:sz val="15"/>
      <x:color rgb="FFFFFFFF"/>
      <x:name val="Aptos Display"/>
    </x:font>
  </x:fonts>
  <x:fills count="7">
    <x:fill>
      <x:patternFill patternType="none"/>
    </x:fill>
    <x:fill>
      <x:patternFill patternType="gray125"/>
    </x:fill>
    <x:fill>
      <x:patternFill patternType="solid">
        <x:fgColor rgb="FF17324D"/>
      </x:patternFill>
    </x:fill>
    <x:fill>
      <x:patternFill patternType="solid">
        <x:fgColor rgb="FFE9F1F6"/>
      </x:patternFill>
    </x:fill>
    <x:fill>
      <x:patternFill patternType="solid">
        <x:fgColor rgb="FF315E7D"/>
      </x:patternFill>
    </x:fill>
    <x:fill>
      <x:patternFill patternType="solid">
        <x:fgColor rgb="FFFFF2D8"/>
      </x:patternFill>
    </x:fill>
    <x:fill>
      <x:patternFill patternType="solid">
        <x:fgColor rgb="FFFCE8E6"/>
      </x:patternFill>
    </x:fill>
  </x:fills>
  <x:borders count="1">
    <x:border>
      <x:left/>
      <x:right/>
      <x:top/>
      <x:bottom/>
      <x:diagonal/>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0"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ce86816c6a412d" /><Relationship Type="http://schemas.openxmlformats.org/officeDocument/2006/relationships/theme" Target="/xl/theme/theme1.xml" Id="Rabe6375ae1c54eca" /><Relationship Type="http://schemas.openxmlformats.org/officeDocument/2006/relationships/sharedStrings" Target="/xl/sharedStrings.xml" Id="R2e1a198d55a94c78" /><Relationship Type="http://schemas.openxmlformats.org/officeDocument/2006/relationships/worksheet" Target="/xl/worksheets/sheet1.xml" Id="R5d76fb3d745f436f" /><Relationship Type="http://schemas.openxmlformats.org/officeDocument/2006/relationships/worksheet" Target="/xl/worksheets/sheet2.xml" Id="R242159d39ea14c87" /><Relationship Type="http://schemas.openxmlformats.org/officeDocument/2006/relationships/worksheet" Target="/xl/worksheets/sheet3.xml" Id="Rd77ece6d59124791" /><Relationship Type="http://schemas.openxmlformats.org/officeDocument/2006/relationships/worksheet" Target="/xl/worksheets/sheet4.xml" Id="R47695ad9fbd746dd" /></Relationships>
</file>

<file path=xl/tables/table1.xml><?xml version="1.0" encoding="utf-8"?>
<x:table xmlns:x="http://schemas.openxmlformats.org/spreadsheetml/2006/main" id="1" name="ABSSurveillancePeriods" displayName="ABSSurveillancePeriods" ref="A1:AT104" headerRowCount="1" totalsRowCount="0" totalsRowShown="0">
  <x:autoFilter ref="A1:AT104"/>
  <x:tableColumns count="46">
    <x:tableColumn id="1" name="contract_id"/>
    <x:tableColumn id="2" name="deal_id"/>
    <x:tableColumn id="3" name="issuer_family"/>
    <x:tableColumn id="4" name="report_month"/>
    <x:tableColumn id="5" name="report_date"/>
    <x:tableColumn id="6" name="collection_period_start"/>
    <x:tableColumn id="7" name="collection_period_end"/>
    <x:tableColumn id="8" name="collection_period_days"/>
    <x:tableColumn id="9" name="filing_date"/>
    <x:tableColumn id="10" name="abs_ee_accession"/>
    <x:tableColumn id="11" name="abs_ee_source_url"/>
    <x:tableColumn id="12" name="certificate_accession"/>
    <x:tableColumn id="13" name="certificate_source_url"/>
    <x:tableColumn id="14" name="asset_pool_balance_usd"/>
    <x:tableColumn id="15" name="certificate_pool_balance_usd"/>
    <x:tableColumn id="16" name="pool_balance_delta_usd"/>
    <x:tableColumn id="17" name="pool_balance_tie"/>
    <x:tableColumn id="18" name="asset_positive_balance_count"/>
    <x:tableColumn id="19" name="certificate_positive_balance_count"/>
    <x:tableColumn id="20" name="positive_balance_count_tie"/>
    <x:tableColumn id="21" name="asset_positive_chargeoff_event_count"/>
    <x:tableColumn id="22" name="certificate_chargeoff_event_count"/>
    <x:tableColumn id="23" name="chargeoff_count_tie"/>
    <x:tableColumn id="24" name="asset_chargeoff_amount_source_signed_usd"/>
    <x:tableColumn id="25" name="certificate_chargeoff_amount_source_signed_usd"/>
    <x:tableColumn id="26" name="chargeoff_amount_tie"/>
    <x:tableColumn id="27" name="first_code4_event_count"/>
    <x:tableColumn id="28" name="first_code4_chargeoff_amount_usd"/>
    <x:tableColumn id="29" name="first_code4_count_tie"/>
    <x:tableColumn id="30" name="first_code4_amount_tie"/>
    <x:tableColumn id="31" name="asset_recovered_amount_usd"/>
    <x:tableColumn id="32" name="certificate_recovery_comparator_id"/>
    <x:tableColumn id="33" name="certificate_recovery_amount_usd"/>
    <x:tableColumn id="34" name="recovery_delta_asset_minus_certificate_usd"/>
    <x:tableColumn id="35" name="recovery_tie_status"/>
    <x:tableColumn id="36" name="toyota_certificate_component_identity_status"/>
    <x:tableColumn id="37" name="toyota_certificate_net_loss_identity_status"/>
    <x:tableColumn id="38" name="nissan_monthly_net_loss_identity_status"/>
    <x:tableColumn id="39" name="nissan_cumulative_net_loss_identity_status"/>
    <x:tableColumn id="40" name="native_dpd_definition_id"/>
    <x:tableColumn id="41" name="dpd_literal_exact_fields"/>
    <x:tableColumn id="42" name="dpd_total_field_checks"/>
    <x:tableColumn id="43" name="exception_categories"/>
    <x:tableColumn id="44" name="exception_status"/>
    <x:tableColumn id="45" name="root_cause_resolved"/>
    <x:tableColumn id="46" name="exception_note"/>
  </x:tableColumns>
  <x:tableStyleInfo name="TableStyleMedium2" showFirstColumn="0" showLastColumn="0" showRowStripes="1" showColumnStripes="0"/>
</x:table>
</file>

<file path=xl/tables/table2.xml><?xml version="1.0" encoding="utf-8"?>
<x:table xmlns:x="http://schemas.openxmlformats.org/spreadsheetml/2006/main" id="2" name="ABSDealDataContracts" displayName="ABSDealDataContracts" ref="A1:K4" headerRowCount="1" totalsRowCount="0" totalsRowShown="0">
  <x:tableColumns count="11">
    <x:tableColumn id="1" name="Deal"/>
    <x:tableColumn id="2" name="Contract ID"/>
    <x:tableColumn id="3" name="Trust"/>
    <x:tableColumn id="4" name="Issuer family"/>
    <x:tableColumn id="5" name="Expected periods"/>
    <x:tableColumn id="6" name="Report window"/>
    <x:tableColumn id="7" name="Recovery comparator"/>
    <x:tableColumn id="8" name="Certificate recovery definition"/>
    <x:tableColumn id="9" name="Native DPD definition ID"/>
    <x:tableColumn id="10" name="Native DPD definition"/>
    <x:tableColumn id="11" name="Research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dd8bc9f1da44b1" /></Relationships>
</file>

<file path=xl/worksheets/_rels/sheet3.xml.rels>&#65279;<?xml version="1.0" encoding="utf-8"?><Relationships xmlns="http://schemas.openxmlformats.org/package/2006/relationships"><Relationship Type="http://schemas.openxmlformats.org/officeDocument/2006/relationships/table" Target="/xl/tables/table2.xml" Id="R983198ad967c4dcd" /></Relationships>
</file>

<file path=xl/worksheets/sheet1.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38" hidden="0" customWidth="1"/>
    <x:col min="2" max="2" width="36" hidden="0" customWidth="1"/>
    <x:col min="3" max="3" width="14" hidden="0" customWidth="1"/>
    <x:col min="4" max="4" width="42" hidden="0" customWidth="1"/>
    <x:col min="5" max="5" width="14" hidden="0" customWidth="1"/>
    <x:col min="6" max="6" width="18" hidden="0" customWidth="1"/>
    <x:col min="7" max="7" width="34" hidden="0" customWidth="1"/>
    <x:col min="8" max="8" width="20" hidden="0" customWidth="1"/>
    <x:col min="9" max="9" width="26" hidden="0" customWidth="1"/>
    <x:col min="10" max="10" width="34" hidden="0" customWidth="1"/>
  </x:cols>
  <x:sheetData>
    <x:row r="1" ht="40" customHeight="1">
      <x:c r="A1" s="3" t="str">
        <x:v>Structured ABS surveillance · contract-aware release</x:v>
      </x:c>
      <x:c r="B1" s="3"/>
      <x:c r="C1" s="3"/>
      <x:c r="D1" s="3"/>
      <x:c r="E1" s="3"/>
      <x:c r="F1" s="3"/>
      <x:c r="G1" s="3"/>
      <x:c r="H1" s="3"/>
      <x:c r="I1" s="3"/>
      <x:c r="J1" s="3"/>
    </x:row>
    <x:row r="2" ht="24" customHeight="1">
      <x:c r="A2" s="6" t="str">
        <x:v>Toyota 2022-B, Toyota 2024-B and Nissan 2024-B · 103 deal-period rows · source comparators remain contract-specific</x:v>
      </x:c>
      <x:c r="B2" s="6"/>
      <x:c r="C2" s="6"/>
      <x:c r="D2" s="6"/>
      <x:c r="E2" s="6"/>
      <x:c r="F2" s="6"/>
      <x:c r="G2" s="6"/>
      <x:c r="H2" s="6"/>
      <x:c r="I2" s="6"/>
      <x:c r="J2" s="6"/>
    </x:row>
    <x:row r="4">
      <x:c r="A4" s="9" t="str">
        <x:v>Release control</x:v>
      </x:c>
      <x:c r="B4" s="9" t="str">
        <x:v>Recalculated result</x:v>
      </x:c>
    </x:row>
    <x:row r="5" ht="34" customHeight="1">
      <x:c r="A5" s="11" t="str">
        <x:v>Deal-period rows</x:v>
      </x:c>
      <x:c r="B5" s="14" t="n">
        <x:f>COUNTA('Period ledger'!$A$2:$A$104)</x:f>
        <x:v>103</x:v>
      </x:c>
    </x:row>
    <x:row r="6" ht="34" customHeight="1">
      <x:c r="A6" s="11" t="str">
        <x:v>Deal contracts</x:v>
      </x:c>
      <x:c r="B6" s="14" t="n">
        <x:f>COUNTA(A12:A14)</x:f>
        <x:v>3</x:v>
      </x:c>
    </x:row>
    <x:row r="7" ht="34" customHeight="1">
      <x:c r="A7" s="11" t="str">
        <x:v>Periods with any reconciliation exception</x:v>
      </x:c>
      <x:c r="B7" s="14" t="n">
        <x:f>COUNTIF('Period ledger'!$AR$2:$AR$104,"UNRESOLVED")</x:f>
        <x:v>86</x:v>
      </x:c>
    </x:row>
    <x:row r="8" ht="34" customHeight="1">
      <x:c r="A8" s="11" t="str">
        <x:v>Non-zero recovery comparator periods</x:v>
      </x:c>
      <x:c r="B8" s="14" t="n">
        <x:f>COUNTIF('Period ledger'!$AI$2:$AI$104,"UNRESOLVED")</x:f>
        <x:v>83</x:v>
      </x:c>
    </x:row>
    <x:row r="11" ht="44" customHeight="1">
      <x:c r="A11" s="17" t="str">
        <x:v>Deal</x:v>
      </x:c>
      <x:c r="B11" s="17" t="str">
        <x:v>Contract ID</x:v>
      </x:c>
      <x:c r="C11" s="17" t="str">
        <x:v>Periods</x:v>
      </x:c>
      <x:c r="D11" s="17" t="str">
        <x:v>Certificate recovery comparator</x:v>
      </x:c>
      <x:c r="E11" s="17" t="str">
        <x:v>Tied periods</x:v>
      </x:c>
      <x:c r="F11" s="17" t="str">
        <x:v>Recovery exceptions</x:v>
      </x:c>
      <x:c r="G11" s="17" t="str">
        <x:v>Recovery delta total · within contract only USD</x:v>
      </x:c>
      <x:c r="H11" s="17" t="str">
        <x:v>Periods with any exception</x:v>
      </x:c>
      <x:c r="I11" s="17" t="str">
        <x:v>Native DPD exact fields</x:v>
      </x:c>
      <x:c r="J11" s="17" t="str">
        <x:v>Native DPD fields checked</x:v>
      </x:c>
    </x:row>
    <x:row r="12" ht="48" customHeight="1">
      <x:c r="A12" s="20" t="str">
        <x:v>TOYOTA-2022-B</x:v>
      </x:c>
      <x:c r="B12" s="20" t="str">
        <x:v>toyota-2022-b-recovery-v1</x:v>
      </x:c>
      <x:c r="C12" s="21" t="n">
        <x:f>COUNTIF('Period ledger'!$B$2:$B$104,A12)</x:f>
        <x:v>51</x:v>
      </x:c>
      <x:c r="D12" s="18" t="str">
        <x:v>Aggregate net liquidation proceeds</x:v>
      </x:c>
      <x:c r="E12" s="21" t="n">
        <x:f>COUNTIFS('Period ledger'!$B$2:$B$104,A12,'Period ledger'!$AI$2:$AI$104,"TIED")</x:f>
        <x:v>2</x:v>
      </x:c>
      <x:c r="F12" s="21" t="n">
        <x:f>COUNTIFS('Period ledger'!$B$2:$B$104,A12,'Period ledger'!$AI$2:$AI$104,"UNRESOLVED")</x:f>
        <x:v>49</x:v>
      </x:c>
      <x:c r="G12" s="22" t="n">
        <x:f>SUMIF('Period ledger'!$B$2:$B$104,A12,'Period ledger'!$AH$2:$AH$104)</x:f>
        <x:v>2058647.0599999998</x:v>
      </x:c>
      <x:c r="H12" s="18" t="n">
        <x:f>COUNTIFS('Period ledger'!$B$2:$B$104,A12,'Period ledger'!$AR$2:$AR$104,"UNRESOLVED")</x:f>
        <x:v>49</x:v>
      </x:c>
      <x:c r="I12" s="18" t="str">
        <x:v>Not included in this ledger</x:v>
      </x:c>
      <x:c r="J12" s="18" t="str">
        <x:v>Not included in this ledger</x:v>
      </x:c>
    </x:row>
    <x:row r="13" ht="48" customHeight="1">
      <x:c r="A13" s="20" t="str">
        <x:v>TOYOTA-2024-B</x:v>
      </x:c>
      <x:c r="B13" s="20" t="str">
        <x:v>toyota-2024-b-recovery-v1</x:v>
      </x:c>
      <x:c r="C13" s="21" t="n">
        <x:f>COUNTIF('Period ledger'!$B$2:$B$104,A13)</x:f>
        <x:v>29</x:v>
      </x:c>
      <x:c r="D13" s="18" t="str">
        <x:v>Aggregate net liquidation proceeds</x:v>
      </x:c>
      <x:c r="E13" s="21" t="n">
        <x:f>COUNTIFS('Period ledger'!$B$2:$B$104,A13,'Period ledger'!$AI$2:$AI$104,"TIED")</x:f>
        <x:v>1</x:v>
      </x:c>
      <x:c r="F13" s="21" t="n">
        <x:f>COUNTIFS('Period ledger'!$B$2:$B$104,A13,'Period ledger'!$AI$2:$AI$104,"UNRESOLVED")</x:f>
        <x:v>28</x:v>
      </x:c>
      <x:c r="G13" s="22" t="n">
        <x:f>SUMIF('Period ledger'!$B$2:$B$104,A13,'Period ledger'!$AH$2:$AH$104)</x:f>
        <x:v>1764558.08</x:v>
      </x:c>
      <x:c r="H13" s="18" t="n">
        <x:f>COUNTIFS('Period ledger'!$B$2:$B$104,A13,'Period ledger'!$AR$2:$AR$104,"UNRESOLVED")</x:f>
        <x:v>28</x:v>
      </x:c>
      <x:c r="I13" s="18" t="str">
        <x:v>Not included in this ledger</x:v>
      </x:c>
      <x:c r="J13" s="18" t="str">
        <x:v>Not included in this ledger</x:v>
      </x:c>
    </x:row>
    <x:row r="14" ht="48" customHeight="1">
      <x:c r="A14" s="20" t="str">
        <x:v>NISSAN-2024-B</x:v>
      </x:c>
      <x:c r="B14" s="20" t="str">
        <x:v>nissan-2024-b-surveillance-v1</x:v>
      </x:c>
      <x:c r="C14" s="21" t="n">
        <x:f>COUNTIF('Period ledger'!$B$2:$B$104,A14)</x:f>
        <x:v>23</x:v>
      </x:c>
      <x:c r="D14" s="18" t="str">
        <x:v>Current-period recoveries of defaulted receivables</x:v>
      </x:c>
      <x:c r="E14" s="21" t="n">
        <x:f>COUNTIFS('Period ledger'!$B$2:$B$104,A14,'Period ledger'!$AI$2:$AI$104,"TIED")</x:f>
        <x:v>17</x:v>
      </x:c>
      <x:c r="F14" s="21" t="n">
        <x:f>COUNTIFS('Period ledger'!$B$2:$B$104,A14,'Period ledger'!$AI$2:$AI$104,"UNRESOLVED")</x:f>
        <x:v>6</x:v>
      </x:c>
      <x:c r="G14" s="22" t="n">
        <x:f>SUMIF('Period ledger'!$B$2:$B$104,A14,'Period ledger'!$AH$2:$AH$104)</x:f>
        <x:v>8859.23</x:v>
      </x:c>
      <x:c r="H14" s="18" t="n">
        <x:f>COUNTIFS('Period ledger'!$B$2:$B$104,A14,'Period ledger'!$AR$2:$AR$104,"UNRESOLVED")</x:f>
        <x:v>9</x:v>
      </x:c>
      <x:c r="I14" s="18" t="n">
        <x:f>SUMIF('Period ledger'!$B$2:$B$104,A14,'Period ledger'!$AO$2:$AO$104)</x:f>
        <x:v>178</x:v>
      </x:c>
      <x:c r="J14" s="18" t="n">
        <x:f>SUMIF('Period ledger'!$B$2:$B$104,A14,'Period ledger'!$AP$2:$AP$104)</x:f>
        <x:v>184</x:v>
      </x:c>
    </x:row>
    <x:row r="16">
      <x:c r="A16" s="26" t="str">
        <x:v>Analyst readout: 83 recovery-comparator period residuals remain non-zero across the three contracts. Toyota compares ABS-EE recoveredAmount with aggregate net liquidation proceeds; Nissan compares with current Recoveries of Defaulted Receivables. Keep residuals and tie counts within each contract. Do not calculate a pooled recovery delta, tie rate, LGD or loss estimate.</x:v>
      </x:c>
      <x:c r="B16" s="26"/>
      <x:c r="C16" s="26"/>
      <x:c r="D16" s="26"/>
      <x:c r="E16" s="26"/>
      <x:c r="F16" s="26"/>
      <x:c r="G16" s="26"/>
      <x:c r="H16" s="26"/>
      <x:c r="I16" s="26"/>
      <x:c r="J16" s="26"/>
    </x:row>
    <x:row r="17">
      <x:c r="A17" s="26"/>
      <x:c r="B17" s="26"/>
      <x:c r="C17" s="26"/>
      <x:c r="D17" s="26"/>
      <x:c r="E17" s="26"/>
      <x:c r="F17" s="26"/>
      <x:c r="G17" s="26"/>
      <x:c r="H17" s="26"/>
      <x:c r="I17" s="26"/>
      <x:c r="J17" s="26"/>
    </x:row>
    <x:row r="18">
      <x:c r="A18" s="26"/>
      <x:c r="B18" s="26"/>
      <x:c r="C18" s="26"/>
      <x:c r="D18" s="26"/>
      <x:c r="E18" s="26"/>
      <x:c r="F18" s="26"/>
      <x:c r="G18" s="26"/>
      <x:c r="H18" s="26"/>
      <x:c r="I18" s="26"/>
      <x:c r="J18" s="26"/>
    </x:row>
    <x:row r="19">
      <x:c r="A19" s="26"/>
      <x:c r="B19" s="26"/>
      <x:c r="C19" s="26"/>
      <x:c r="D19" s="26"/>
      <x:c r="E19" s="26"/>
      <x:c r="F19" s="26"/>
      <x:c r="G19" s="26"/>
      <x:c r="H19" s="26"/>
      <x:c r="I19" s="26"/>
      <x:c r="J19" s="26"/>
    </x:row>
    <x:row r="21">
      <x:c r="A21" s="30" t="str">
        <x:v>Nissan adds nine exception periods beyond recovery (charge-off count/amount, first-code-4 count/amount and June 2025 literal DPD). The one-day-earlier DPD candidate matches June only and worsens full-panel checks from 178/184 to 86/184; it is diagnostic and not adopted. Root causes remain unresolved.</x:v>
      </x:c>
      <x:c r="B21" s="30"/>
      <x:c r="C21" s="30"/>
      <x:c r="D21" s="30"/>
      <x:c r="E21" s="30"/>
      <x:c r="F21" s="30"/>
      <x:c r="G21" s="30"/>
      <x:c r="H21" s="30"/>
      <x:c r="I21" s="30"/>
      <x:c r="J21" s="30"/>
    </x:row>
    <x:row r="22">
      <x:c r="A22" s="30"/>
      <x:c r="B22" s="30"/>
      <x:c r="C22" s="30"/>
      <x:c r="D22" s="30"/>
      <x:c r="E22" s="30"/>
      <x:c r="F22" s="30"/>
      <x:c r="G22" s="30"/>
      <x:c r="H22" s="30"/>
      <x:c r="I22" s="30"/>
      <x:c r="J22" s="30"/>
    </x:row>
    <x:row r="23">
      <x:c r="A23" s="30"/>
      <x:c r="B23" s="30"/>
      <x:c r="C23" s="30"/>
      <x:c r="D23" s="30"/>
      <x:c r="E23" s="30"/>
      <x:c r="F23" s="30"/>
      <x:c r="G23" s="30"/>
      <x:c r="H23" s="30"/>
      <x:c r="I23" s="30"/>
      <x:c r="J23" s="30"/>
    </x:row>
    <x:row r="24">
      <x:c r="A24" s="30"/>
      <x:c r="B24" s="30"/>
      <x:c r="C24" s="30"/>
      <x:c r="D24" s="30"/>
      <x:c r="E24" s="30"/>
      <x:c r="F24" s="30"/>
      <x:c r="G24" s="30"/>
      <x:c r="H24" s="30"/>
      <x:c r="I24" s="30"/>
      <x:c r="J24" s="30"/>
    </x:row>
  </x:sheetData>
  <x:mergeCells>
    <x:mergeCell ref="A1:J1"/>
    <x:mergeCell ref="A2:J2"/>
    <x:mergeCell ref="A16:J19"/>
    <x:mergeCell ref="A21:J24"/>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5" ySplit="1" topLeftCell="F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5" hidden="0" customWidth="1"/>
    <x:col min="9" max="9" width="18" hidden="0" customWidth="1"/>
    <x:col min="10" max="10" width="24" hidden="0" customWidth="1"/>
    <x:col min="11" max="11" width="72" hidden="0" customWidth="1"/>
    <x:col min="12" max="12" width="24" hidden="0" customWidth="1"/>
    <x:col min="13" max="13" width="72" hidden="0" customWidth="1"/>
    <x:col min="14" max="14" width="23" hidden="0" customWidth="1"/>
    <x:col min="15" max="15" width="23" hidden="0" customWidth="1"/>
    <x:col min="16" max="16" width="23" hidden="0" customWidth="1"/>
    <x:col min="17" max="17" width="18" hidden="0" customWidth="1"/>
    <x:col min="18" max="18" width="15" hidden="0" customWidth="1"/>
    <x:col min="19" max="19" width="15" hidden="0" customWidth="1"/>
    <x:col min="20" max="20" width="18" hidden="0" customWidth="1"/>
    <x:col min="21" max="21" width="15" hidden="0" customWidth="1"/>
    <x:col min="22" max="22" width="15" hidden="0" customWidth="1"/>
    <x:col min="23" max="23" width="18" hidden="0" customWidth="1"/>
    <x:col min="24" max="24" width="23" hidden="0" customWidth="1"/>
    <x:col min="25" max="25" width="23" hidden="0" customWidth="1"/>
    <x:col min="26" max="26" width="18" hidden="0" customWidth="1"/>
    <x:col min="27" max="27" width="15" hidden="0" customWidth="1"/>
    <x:col min="28" max="28" width="23" hidden="0" customWidth="1"/>
    <x:col min="29" max="29" width="18" hidden="0" customWidth="1"/>
    <x:col min="30" max="30" width="18" hidden="0" customWidth="1"/>
    <x:col min="31" max="31" width="23" hidden="0" customWidth="1"/>
    <x:col min="32" max="32" width="18" hidden="0" customWidth="1"/>
    <x:col min="33" max="33" width="23" hidden="0" customWidth="1"/>
    <x:col min="34" max="34" width="23" hidden="0" customWidth="1"/>
    <x:col min="35" max="35" width="26" hidden="0" customWidth="1"/>
    <x:col min="36" max="36" width="26" hidden="0" customWidth="1"/>
    <x:col min="37" max="37" width="26" hidden="0" customWidth="1"/>
    <x:col min="38" max="38" width="26" hidden="0" customWidth="1"/>
    <x:col min="39" max="39" width="26" hidden="0" customWidth="1"/>
    <x:col min="40" max="40" width="31" hidden="0" customWidth="1"/>
    <x:col min="41" max="41" width="15" hidden="0" customWidth="1"/>
    <x:col min="42" max="42" width="18" hidden="0" customWidth="1"/>
    <x:col min="43" max="43" width="26" hidden="0" customWidth="1"/>
    <x:col min="44" max="44" width="26" hidden="0" customWidth="1"/>
    <x:col min="45" max="45" width="18" hidden="0" customWidth="1"/>
    <x:col min="46" max="46" width="18" hidden="0" customWidth="1"/>
  </x:cols>
  <x:sheetData>
    <x:row r="1" ht="54" customHeight="1">
      <x:c r="A1" s="34" t="str">
        <x:v>contract_id</x:v>
      </x:c>
      <x:c r="B1" s="34" t="str">
        <x:v>deal_id</x:v>
      </x:c>
      <x:c r="C1" s="34" t="str">
        <x:v>issuer_family</x:v>
      </x:c>
      <x:c r="D1" s="34" t="str">
        <x:v>report_month</x:v>
      </x:c>
      <x:c r="E1" s="34" t="str">
        <x:v>report_date</x:v>
      </x:c>
      <x:c r="F1" s="34" t="str">
        <x:v>collection_period_start</x:v>
      </x:c>
      <x:c r="G1" s="34" t="str">
        <x:v>collection_period_end</x:v>
      </x:c>
      <x:c r="H1" s="34" t="str">
        <x:v>collection_period_days</x:v>
      </x:c>
      <x:c r="I1" s="34" t="str">
        <x:v>filing_date</x:v>
      </x:c>
      <x:c r="J1" s="34" t="str">
        <x:v>abs_ee_accession</x:v>
      </x:c>
      <x:c r="K1" s="34" t="str">
        <x:v>abs_ee_source_url</x:v>
      </x:c>
      <x:c r="L1" s="34" t="str">
        <x:v>certificate_accession</x:v>
      </x:c>
      <x:c r="M1" s="34" t="str">
        <x:v>certificate_source_url</x:v>
      </x:c>
      <x:c r="N1" s="34" t="str">
        <x:v>asset_pool_balance_usd</x:v>
      </x:c>
      <x:c r="O1" s="34" t="str">
        <x:v>certificate_pool_balance_usd</x:v>
      </x:c>
      <x:c r="P1" s="34" t="str">
        <x:v>pool_balance_delta_usd</x:v>
      </x:c>
      <x:c r="Q1" s="34" t="str">
        <x:v>pool_balance_tie</x:v>
      </x:c>
      <x:c r="R1" s="34" t="str">
        <x:v>asset_positive_balance_count</x:v>
      </x:c>
      <x:c r="S1" s="34" t="str">
        <x:v>certificate_positive_balance_count</x:v>
      </x:c>
      <x:c r="T1" s="34" t="str">
        <x:v>positive_balance_count_tie</x:v>
      </x:c>
      <x:c r="U1" s="34" t="str">
        <x:v>asset_positive_chargeoff_event_count</x:v>
      </x:c>
      <x:c r="V1" s="34" t="str">
        <x:v>certificate_chargeoff_event_count</x:v>
      </x:c>
      <x:c r="W1" s="34" t="str">
        <x:v>chargeoff_count_tie</x:v>
      </x:c>
      <x:c r="X1" s="34" t="str">
        <x:v>asset_chargeoff_amount_source_signed_usd</x:v>
      </x:c>
      <x:c r="Y1" s="34" t="str">
        <x:v>certificate_chargeoff_amount_source_signed_usd</x:v>
      </x:c>
      <x:c r="Z1" s="34" t="str">
        <x:v>chargeoff_amount_tie</x:v>
      </x:c>
      <x:c r="AA1" s="34" t="str">
        <x:v>first_code4_event_count</x:v>
      </x:c>
      <x:c r="AB1" s="34" t="str">
        <x:v>first_code4_chargeoff_amount_usd</x:v>
      </x:c>
      <x:c r="AC1" s="34" t="str">
        <x:v>first_code4_count_tie</x:v>
      </x:c>
      <x:c r="AD1" s="34" t="str">
        <x:v>first_code4_amount_tie</x:v>
      </x:c>
      <x:c r="AE1" s="34" t="str">
        <x:v>asset_recovered_amount_usd</x:v>
      </x:c>
      <x:c r="AF1" s="34" t="str">
        <x:v>certificate_recovery_comparator_id</x:v>
      </x:c>
      <x:c r="AG1" s="34" t="str">
        <x:v>certificate_recovery_amount_usd</x:v>
      </x:c>
      <x:c r="AH1" s="34" t="str">
        <x:v>recovery_delta_asset_minus_certificate_usd</x:v>
      </x:c>
      <x:c r="AI1" s="34" t="str">
        <x:v>recovery_tie_status</x:v>
      </x:c>
      <x:c r="AJ1" s="34" t="str">
        <x:v>toyota_certificate_component_identity_status</x:v>
      </x:c>
      <x:c r="AK1" s="34" t="str">
        <x:v>toyota_certificate_net_loss_identity_status</x:v>
      </x:c>
      <x:c r="AL1" s="34" t="str">
        <x:v>nissan_monthly_net_loss_identity_status</x:v>
      </x:c>
      <x:c r="AM1" s="34" t="str">
        <x:v>nissan_cumulative_net_loss_identity_status</x:v>
      </x:c>
      <x:c r="AN1" s="34" t="str">
        <x:v>native_dpd_definition_id</x:v>
      </x:c>
      <x:c r="AO1" s="34" t="str">
        <x:v>dpd_literal_exact_fields</x:v>
      </x:c>
      <x:c r="AP1" s="34" t="str">
        <x:v>dpd_total_field_checks</x:v>
      </x:c>
      <x:c r="AQ1" s="34" t="str">
        <x:v>exception_categories</x:v>
      </x:c>
      <x:c r="AR1" s="34" t="str">
        <x:v>exception_status</x:v>
      </x:c>
      <x:c r="AS1" s="34" t="str">
        <x:v>root_cause_resolved</x:v>
      </x:c>
      <x:c r="AT1" s="34" t="str">
        <x:v>exception_note</x:v>
      </x:c>
    </x:row>
    <x:row r="2" ht="32" customHeight="1">
      <x:c r="A2" s="18" t="str">
        <x:v>toyota-2022-b-recovery-v1</x:v>
      </x:c>
      <x:c r="B2" s="18" t="str">
        <x:v>TOYOTA-2022-B</x:v>
      </x:c>
      <x:c r="C2" s="18" t="str">
        <x:v>Toyota Auto Receivables</x:v>
      </x:c>
      <x:c r="D2" s="18" t="str">
        <x:v>2022-04</x:v>
      </x:c>
      <x:c r="E2" s="18" t="str">
        <x:v>2022-04-30</x:v>
      </x:c>
      <x:c r="F2" s="18" t="str">
        <x:v>2022-03-01</x:v>
      </x:c>
      <x:c r="G2" s="18" t="str">
        <x:v>2022-04-30</x:v>
      </x:c>
      <x:c r="H2" s="35" t="n">
        <x:v>61</x:v>
      </x:c>
      <x:c r="I2" s="18" t="str">
        <x:v>2022-05-26</x:v>
      </x:c>
      <x:c r="J2" s="18" t="str">
        <x:v>0000950131-22-002460</x:v>
      </x:c>
      <x:c r="K2" s="18" t="str">
        <x:v>https://www.sec.gov/Archives/edgar/data/1914281/000095013122002460/0000950131-22-002460-index.html</x:v>
      </x:c>
      <x:c r="L2" s="18" t="str">
        <x:v>0000950131-22-002459</x:v>
      </x:c>
      <x:c r="M2" s="18" t="str">
        <x:v>https://www.sec.gov/Archives/edgar/data/1914281/000095013122002459/d346874dex991.htm</x:v>
      </x:c>
      <x:c r="N2" s="22"/>
      <x:c r="O2" s="22"/>
      <x:c r="P2" s="22"/>
      <x:c r="Q2" s="18"/>
      <x:c r="R2" s="35"/>
      <x:c r="S2" s="35"/>
      <x:c r="T2" s="18"/>
      <x:c r="U2" s="35"/>
      <x:c r="V2" s="35"/>
      <x:c r="W2" s="18"/>
      <x:c r="X2" s="22"/>
      <x:c r="Y2" s="22"/>
      <x:c r="Z2" s="18"/>
      <x:c r="AA2" s="35"/>
      <x:c r="AB2" s="22"/>
      <x:c r="AC2" s="18"/>
      <x:c r="AD2" s="18"/>
      <x:c r="AE2" s="22" t="n">
        <x:v>32084.17</x:v>
      </x:c>
      <x:c r="AF2" s="18" t="str">
        <x:v>aggregate_net_liquidation_proceeds</x:v>
      </x:c>
      <x:c r="AG2" s="22" t="n">
        <x:v>32084.17</x:v>
      </x:c>
      <x:c r="AH2" s="22" t="n">
        <x:v>0</x:v>
      </x:c>
      <x:c r="AI2" s="18" t="str">
        <x:v>TIED</x:v>
      </x:c>
      <x:c r="AJ2" s="18" t="str">
        <x:v>TIED</x:v>
      </x:c>
      <x:c r="AK2" s="18" t="str">
        <x:v>TIED</x:v>
      </x:c>
      <x:c r="AL2" s="18"/>
      <x:c r="AM2" s="18"/>
      <x:c r="AN2" s="18" t="str">
        <x:v>toyota-30-59-60-89-90-119-120-plus</x:v>
      </x:c>
      <x:c r="AO2" s="35"/>
      <x:c r="AP2" s="18"/>
      <x:c r="AQ2" s="18"/>
      <x:c r="AR2" s="18" t="str">
        <x:v>NO_EXCEPTION_IN_RELEASE_SCOPE</x:v>
      </x:c>
      <x:c r="AS2" s="18" t="str">
        <x:v>No</x:v>
      </x:c>
      <x:c r="AT2" s="18"/>
    </x:row>
    <x:row r="3" ht="32" customHeight="1">
      <x:c r="A3" s="18" t="str">
        <x:v>toyota-2022-b-recovery-v1</x:v>
      </x:c>
      <x:c r="B3" s="18" t="str">
        <x:v>TOYOTA-2022-B</x:v>
      </x:c>
      <x:c r="C3" s="18" t="str">
        <x:v>Toyota Auto Receivables</x:v>
      </x:c>
      <x:c r="D3" s="18" t="str">
        <x:v>2022-05</x:v>
      </x:c>
      <x:c r="E3" s="18" t="str">
        <x:v>2022-05-31</x:v>
      </x:c>
      <x:c r="F3" s="18" t="str">
        <x:v>2022-05-01</x:v>
      </x:c>
      <x:c r="G3" s="18" t="str">
        <x:v>2022-05-31</x:v>
      </x:c>
      <x:c r="H3" s="35" t="n">
        <x:v>31</x:v>
      </x:c>
      <x:c r="I3" s="18" t="str">
        <x:v>2022-06-28</x:v>
      </x:c>
      <x:c r="J3" s="18" t="str">
        <x:v>0000950131-22-002911</x:v>
      </x:c>
      <x:c r="K3" s="18" t="str">
        <x:v>https://www.sec.gov/Archives/edgar/data/1914281/000095013122002911/0000950131-22-002911-index.html</x:v>
      </x:c>
      <x:c r="L3" s="18" t="str">
        <x:v>0000950131-22-002909</x:v>
      </x:c>
      <x:c r="M3" s="18" t="str">
        <x:v>https://www.sec.gov/Archives/edgar/data/1914281/000095013122002909/d257209dex991.htm</x:v>
      </x:c>
      <x:c r="N3" s="22"/>
      <x:c r="O3" s="22"/>
      <x:c r="P3" s="22"/>
      <x:c r="Q3" s="18"/>
      <x:c r="R3" s="35"/>
      <x:c r="S3" s="35"/>
      <x:c r="T3" s="18"/>
      <x:c r="U3" s="35"/>
      <x:c r="V3" s="35"/>
      <x:c r="W3" s="18"/>
      <x:c r="X3" s="22"/>
      <x:c r="Y3" s="22"/>
      <x:c r="Z3" s="18"/>
      <x:c r="AA3" s="35"/>
      <x:c r="AB3" s="22"/>
      <x:c r="AC3" s="18"/>
      <x:c r="AD3" s="18"/>
      <x:c r="AE3" s="22" t="n">
        <x:v>34046.35</x:v>
      </x:c>
      <x:c r="AF3" s="18" t="str">
        <x:v>aggregate_net_liquidation_proceeds</x:v>
      </x:c>
      <x:c r="AG3" s="22" t="n">
        <x:v>34046.35</x:v>
      </x:c>
      <x:c r="AH3" s="22" t="n">
        <x:v>0</x:v>
      </x:c>
      <x:c r="AI3" s="18" t="str">
        <x:v>TIED</x:v>
      </x:c>
      <x:c r="AJ3" s="18" t="str">
        <x:v>TIED</x:v>
      </x:c>
      <x:c r="AK3" s="18" t="str">
        <x:v>TIED</x:v>
      </x:c>
      <x:c r="AL3" s="18"/>
      <x:c r="AM3" s="18"/>
      <x:c r="AN3" s="18" t="str">
        <x:v>toyota-30-59-60-89-90-119-120-plus</x:v>
      </x:c>
      <x:c r="AO3" s="35"/>
      <x:c r="AP3" s="18"/>
      <x:c r="AQ3" s="18"/>
      <x:c r="AR3" s="18" t="str">
        <x:v>NO_EXCEPTION_IN_RELEASE_SCOPE</x:v>
      </x:c>
      <x:c r="AS3" s="18" t="str">
        <x:v>No</x:v>
      </x:c>
      <x:c r="AT3" s="18"/>
    </x:row>
    <x:row r="4" ht="32" customHeight="1">
      <x:c r="A4" s="18" t="str">
        <x:v>toyota-2022-b-recovery-v1</x:v>
      </x:c>
      <x:c r="B4" s="18" t="str">
        <x:v>TOYOTA-2022-B</x:v>
      </x:c>
      <x:c r="C4" s="18" t="str">
        <x:v>Toyota Auto Receivables</x:v>
      </x:c>
      <x:c r="D4" s="18" t="str">
        <x:v>2022-06</x:v>
      </x:c>
      <x:c r="E4" s="18" t="str">
        <x:v>2022-06-30</x:v>
      </x:c>
      <x:c r="F4" s="18" t="str">
        <x:v>2022-06-01</x:v>
      </x:c>
      <x:c r="G4" s="18" t="str">
        <x:v>2022-06-30</x:v>
      </x:c>
      <x:c r="H4" s="35" t="n">
        <x:v>30</x:v>
      </x:c>
      <x:c r="I4" s="18" t="str">
        <x:v>2022-07-27</x:v>
      </x:c>
      <x:c r="J4" s="18" t="str">
        <x:v>0000950131-22-003354</x:v>
      </x:c>
      <x:c r="K4" s="18" t="str">
        <x:v>https://www.sec.gov/Archives/edgar/data/1914281/000095013122003354/0000950131-22-003354-index.html</x:v>
      </x:c>
      <x:c r="L4" s="18" t="str">
        <x:v>0000950131-22-003347</x:v>
      </x:c>
      <x:c r="M4" s="18" t="str">
        <x:v>https://www.sec.gov/Archives/edgar/data/1914281/000095013122003347/d383914dex991.htm</x:v>
      </x:c>
      <x:c r="N4" s="22"/>
      <x:c r="O4" s="22"/>
      <x:c r="P4" s="22"/>
      <x:c r="Q4" s="18"/>
      <x:c r="R4" s="35"/>
      <x:c r="S4" s="35"/>
      <x:c r="T4" s="18"/>
      <x:c r="U4" s="35"/>
      <x:c r="V4" s="35"/>
      <x:c r="W4" s="18"/>
      <x:c r="X4" s="22"/>
      <x:c r="Y4" s="22"/>
      <x:c r="Z4" s="18"/>
      <x:c r="AA4" s="35"/>
      <x:c r="AB4" s="22"/>
      <x:c r="AC4" s="18"/>
      <x:c r="AD4" s="18"/>
      <x:c r="AE4" s="22" t="n">
        <x:v>31919.82</x:v>
      </x:c>
      <x:c r="AF4" s="18" t="str">
        <x:v>aggregate_net_liquidation_proceeds</x:v>
      </x:c>
      <x:c r="AG4" s="22" t="n">
        <x:v>29642.22</x:v>
      </x:c>
      <x:c r="AH4" s="22" t="n">
        <x:v>2277.6</x:v>
      </x:c>
      <x:c r="AI4" s="18" t="str">
        <x:v>UNRESOLVED</x:v>
      </x:c>
      <x:c r="AJ4" s="18" t="str">
        <x:v>TIED</x:v>
      </x:c>
      <x:c r="AK4" s="18" t="str">
        <x:v>TIED</x:v>
      </x:c>
      <x:c r="AL4" s="18"/>
      <x:c r="AM4" s="18"/>
      <x:c r="AN4" s="18" t="str">
        <x:v>toyota-30-59-60-89-90-119-120-plus</x:v>
      </x:c>
      <x:c r="AO4" s="35"/>
      <x:c r="AP4" s="18"/>
      <x:c r="AQ4" s="18" t="str">
        <x:v>recovery_comparator_delta</x:v>
      </x:c>
      <x:c r="AR4" s="18" t="str">
        <x:v>UNRESOLVED</x:v>
      </x:c>
      <x:c r="AS4" s="18" t="str">
        <x:v>No</x:v>
      </x:c>
      <x:c r="AT4" s="18" t="str">
        <x:v>Residual retained; public certificate sources do not attribute this ABS-EE aggregate delta to a timing, population, correction, or classification component.</x:v>
      </x:c>
    </x:row>
    <x:row r="5" ht="32" customHeight="1">
      <x:c r="A5" s="18" t="str">
        <x:v>toyota-2022-b-recovery-v1</x:v>
      </x:c>
      <x:c r="B5" s="18" t="str">
        <x:v>TOYOTA-2022-B</x:v>
      </x:c>
      <x:c r="C5" s="18" t="str">
        <x:v>Toyota Auto Receivables</x:v>
      </x:c>
      <x:c r="D5" s="18" t="str">
        <x:v>2022-07</x:v>
      </x:c>
      <x:c r="E5" s="18" t="str">
        <x:v>2022-07-31</x:v>
      </x:c>
      <x:c r="F5" s="18" t="str">
        <x:v>2022-07-01</x:v>
      </x:c>
      <x:c r="G5" s="18" t="str">
        <x:v>2022-07-31</x:v>
      </x:c>
      <x:c r="H5" s="35" t="n">
        <x:v>31</x:v>
      </x:c>
      <x:c r="I5" s="18" t="str">
        <x:v>2022-08-29</x:v>
      </x:c>
      <x:c r="J5" s="18" t="str">
        <x:v>0000950131-22-003870</x:v>
      </x:c>
      <x:c r="K5" s="18" t="str">
        <x:v>https://www.sec.gov/Archives/edgar/data/1914281/000095013122003870/0000950131-22-003870-index.html</x:v>
      </x:c>
      <x:c r="L5" s="18" t="str">
        <x:v>0000950131-22-003864</x:v>
      </x:c>
      <x:c r="M5" s="18" t="str">
        <x:v>https://www.sec.gov/Archives/edgar/data/1914281/000095013122003864/d385005dex991.htm</x:v>
      </x:c>
      <x:c r="N5" s="22"/>
      <x:c r="O5" s="22"/>
      <x:c r="P5" s="22"/>
      <x:c r="Q5" s="18"/>
      <x:c r="R5" s="35"/>
      <x:c r="S5" s="35"/>
      <x:c r="T5" s="18"/>
      <x:c r="U5" s="35"/>
      <x:c r="V5" s="35"/>
      <x:c r="W5" s="18"/>
      <x:c r="X5" s="22"/>
      <x:c r="Y5" s="22"/>
      <x:c r="Z5" s="18"/>
      <x:c r="AA5" s="35"/>
      <x:c r="AB5" s="22"/>
      <x:c r="AC5" s="18"/>
      <x:c r="AD5" s="18"/>
      <x:c r="AE5" s="22" t="n">
        <x:v>147280.97</x:v>
      </x:c>
      <x:c r="AF5" s="18" t="str">
        <x:v>aggregate_net_liquidation_proceeds</x:v>
      </x:c>
      <x:c r="AG5" s="22" t="n">
        <x:v>131464.07</x:v>
      </x:c>
      <x:c r="AH5" s="22" t="n">
        <x:v>15816.9</x:v>
      </x:c>
      <x:c r="AI5" s="18" t="str">
        <x:v>UNRESOLVED</x:v>
      </x:c>
      <x:c r="AJ5" s="18" t="str">
        <x:v>TIED</x:v>
      </x:c>
      <x:c r="AK5" s="18" t="str">
        <x:v>TIED</x:v>
      </x:c>
      <x:c r="AL5" s="18"/>
      <x:c r="AM5" s="18"/>
      <x:c r="AN5" s="18" t="str">
        <x:v>toyota-30-59-60-89-90-119-120-plus</x:v>
      </x:c>
      <x:c r="AO5" s="35"/>
      <x:c r="AP5" s="18"/>
      <x:c r="AQ5" s="18" t="str">
        <x:v>recovery_comparator_delta</x:v>
      </x:c>
      <x:c r="AR5" s="18" t="str">
        <x:v>UNRESOLVED</x:v>
      </x:c>
      <x:c r="AS5" s="18" t="str">
        <x:v>No</x:v>
      </x:c>
      <x:c r="AT5" s="18" t="str">
        <x:v>Residual retained; public certificate sources do not attribute this ABS-EE aggregate delta to a timing, population, correction, or classification component.</x:v>
      </x:c>
    </x:row>
    <x:row r="6" ht="32" customHeight="1">
      <x:c r="A6" s="18" t="str">
        <x:v>toyota-2022-b-recovery-v1</x:v>
      </x:c>
      <x:c r="B6" s="18" t="str">
        <x:v>TOYOTA-2022-B</x:v>
      </x:c>
      <x:c r="C6" s="18" t="str">
        <x:v>Toyota Auto Receivables</x:v>
      </x:c>
      <x:c r="D6" s="18" t="str">
        <x:v>2022-08</x:v>
      </x:c>
      <x:c r="E6" s="18" t="str">
        <x:v>2022-08-31</x:v>
      </x:c>
      <x:c r="F6" s="18" t="str">
        <x:v>2022-08-01</x:v>
      </x:c>
      <x:c r="G6" s="18" t="str">
        <x:v>2022-08-31</x:v>
      </x:c>
      <x:c r="H6" s="35" t="n">
        <x:v>31</x:v>
      </x:c>
      <x:c r="I6" s="18" t="str">
        <x:v>2022-09-28</x:v>
      </x:c>
      <x:c r="J6" s="18" t="str">
        <x:v>0000950131-22-004397</x:v>
      </x:c>
      <x:c r="K6" s="18" t="str">
        <x:v>https://www.sec.gov/Archives/edgar/data/1914281/000095013122004397/0000950131-22-004397-index.html</x:v>
      </x:c>
      <x:c r="L6" s="18" t="str">
        <x:v>0000950131-22-004390</x:v>
      </x:c>
      <x:c r="M6" s="18" t="str">
        <x:v>https://www.sec.gov/Archives/edgar/data/1914281/000095013122004390/d404251dex991.htm</x:v>
      </x:c>
      <x:c r="N6" s="22"/>
      <x:c r="O6" s="22"/>
      <x:c r="P6" s="22"/>
      <x:c r="Q6" s="18"/>
      <x:c r="R6" s="35"/>
      <x:c r="S6" s="35"/>
      <x:c r="T6" s="18"/>
      <x:c r="U6" s="35"/>
      <x:c r="V6" s="35"/>
      <x:c r="W6" s="18"/>
      <x:c r="X6" s="22"/>
      <x:c r="Y6" s="22"/>
      <x:c r="Z6" s="18"/>
      <x:c r="AA6" s="35"/>
      <x:c r="AB6" s="22"/>
      <x:c r="AC6" s="18"/>
      <x:c r="AD6" s="18"/>
      <x:c r="AE6" s="22" t="n">
        <x:v>175677.77</x:v>
      </x:c>
      <x:c r="AF6" s="18" t="str">
        <x:v>aggregate_net_liquidation_proceeds</x:v>
      </x:c>
      <x:c r="AG6" s="22" t="n">
        <x:v>164517.63</x:v>
      </x:c>
      <x:c r="AH6" s="22" t="n">
        <x:v>11160.14</x:v>
      </x:c>
      <x:c r="AI6" s="18" t="str">
        <x:v>UNRESOLVED</x:v>
      </x:c>
      <x:c r="AJ6" s="18" t="str">
        <x:v>TIED</x:v>
      </x:c>
      <x:c r="AK6" s="18" t="str">
        <x:v>TIED</x:v>
      </x:c>
      <x:c r="AL6" s="18"/>
      <x:c r="AM6" s="18"/>
      <x:c r="AN6" s="18" t="str">
        <x:v>toyota-30-59-60-89-90-119-120-plus</x:v>
      </x:c>
      <x:c r="AO6" s="35"/>
      <x:c r="AP6" s="18"/>
      <x:c r="AQ6" s="18" t="str">
        <x:v>recovery_comparator_delta</x:v>
      </x:c>
      <x:c r="AR6" s="18" t="str">
        <x:v>UNRESOLVED</x:v>
      </x:c>
      <x:c r="AS6" s="18" t="str">
        <x:v>No</x:v>
      </x:c>
      <x:c r="AT6" s="18" t="str">
        <x:v>Residual retained; public certificate sources do not attribute this ABS-EE aggregate delta to a timing, population, correction, or classification component.</x:v>
      </x:c>
    </x:row>
    <x:row r="7" ht="32" customHeight="1">
      <x:c r="A7" s="18" t="str">
        <x:v>toyota-2022-b-recovery-v1</x:v>
      </x:c>
      <x:c r="B7" s="18" t="str">
        <x:v>TOYOTA-2022-B</x:v>
      </x:c>
      <x:c r="C7" s="18" t="str">
        <x:v>Toyota Auto Receivables</x:v>
      </x:c>
      <x:c r="D7" s="18" t="str">
        <x:v>2022-09</x:v>
      </x:c>
      <x:c r="E7" s="18" t="str">
        <x:v>2022-09-30</x:v>
      </x:c>
      <x:c r="F7" s="18" t="str">
        <x:v>2022-09-01</x:v>
      </x:c>
      <x:c r="G7" s="18" t="str">
        <x:v>2022-09-30</x:v>
      </x:c>
      <x:c r="H7" s="35" t="n">
        <x:v>30</x:v>
      </x:c>
      <x:c r="I7" s="18" t="str">
        <x:v>2022-10-27</x:v>
      </x:c>
      <x:c r="J7" s="18" t="str">
        <x:v>0000950131-22-004890</x:v>
      </x:c>
      <x:c r="K7" s="18" t="str">
        <x:v>https://www.sec.gov/Archives/edgar/data/1914281/000095013122004890/0000950131-22-004890-index.html</x:v>
      </x:c>
      <x:c r="L7" s="18" t="str">
        <x:v>0000950131-22-004883</x:v>
      </x:c>
      <x:c r="M7" s="18" t="str">
        <x:v>https://www.sec.gov/Archives/edgar/data/1914281/000095013122004883/d289133dex991.htm</x:v>
      </x:c>
      <x:c r="N7" s="22"/>
      <x:c r="O7" s="22"/>
      <x:c r="P7" s="22"/>
      <x:c r="Q7" s="18"/>
      <x:c r="R7" s="35"/>
      <x:c r="S7" s="35"/>
      <x:c r="T7" s="18"/>
      <x:c r="U7" s="35"/>
      <x:c r="V7" s="35"/>
      <x:c r="W7" s="18"/>
      <x:c r="X7" s="22"/>
      <x:c r="Y7" s="22"/>
      <x:c r="Z7" s="18"/>
      <x:c r="AA7" s="35"/>
      <x:c r="AB7" s="22"/>
      <x:c r="AC7" s="18"/>
      <x:c r="AD7" s="18"/>
      <x:c r="AE7" s="22" t="n">
        <x:v>330121.68</x:v>
      </x:c>
      <x:c r="AF7" s="18" t="str">
        <x:v>aggregate_net_liquidation_proceeds</x:v>
      </x:c>
      <x:c r="AG7" s="22" t="n">
        <x:v>318182.7</x:v>
      </x:c>
      <x:c r="AH7" s="22" t="n">
        <x:v>11938.98</x:v>
      </x:c>
      <x:c r="AI7" s="18" t="str">
        <x:v>UNRESOLVED</x:v>
      </x:c>
      <x:c r="AJ7" s="18" t="str">
        <x:v>TIED</x:v>
      </x:c>
      <x:c r="AK7" s="18" t="str">
        <x:v>TIED</x:v>
      </x:c>
      <x:c r="AL7" s="18"/>
      <x:c r="AM7" s="18"/>
      <x:c r="AN7" s="18" t="str">
        <x:v>toyota-30-59-60-89-90-119-120-plus</x:v>
      </x:c>
      <x:c r="AO7" s="35"/>
      <x:c r="AP7" s="18"/>
      <x:c r="AQ7" s="18" t="str">
        <x:v>recovery_comparator_delta</x:v>
      </x:c>
      <x:c r="AR7" s="18" t="str">
        <x:v>UNRESOLVED</x:v>
      </x:c>
      <x:c r="AS7" s="18" t="str">
        <x:v>No</x:v>
      </x:c>
      <x:c r="AT7" s="18" t="str">
        <x:v>Residual retained; public certificate sources do not attribute this ABS-EE aggregate delta to a timing, population, correction, or classification component.</x:v>
      </x:c>
    </x:row>
    <x:row r="8" ht="32" customHeight="1">
      <x:c r="A8" s="18" t="str">
        <x:v>toyota-2022-b-recovery-v1</x:v>
      </x:c>
      <x:c r="B8" s="18" t="str">
        <x:v>TOYOTA-2022-B</x:v>
      </x:c>
      <x:c r="C8" s="18" t="str">
        <x:v>Toyota Auto Receivables</x:v>
      </x:c>
      <x:c r="D8" s="18" t="str">
        <x:v>2022-10</x:v>
      </x:c>
      <x:c r="E8" s="18" t="str">
        <x:v>2022-10-31</x:v>
      </x:c>
      <x:c r="F8" s="18" t="str">
        <x:v>2022-10-01</x:v>
      </x:c>
      <x:c r="G8" s="18" t="str">
        <x:v>2022-10-31</x:v>
      </x:c>
      <x:c r="H8" s="35" t="n">
        <x:v>31</x:v>
      </x:c>
      <x:c r="I8" s="18" t="str">
        <x:v>2022-11-28</x:v>
      </x:c>
      <x:c r="J8" s="18" t="str">
        <x:v>0000950131-22-005379</x:v>
      </x:c>
      <x:c r="K8" s="18" t="str">
        <x:v>https://www.sec.gov/Archives/edgar/data/1914281/000095013122005379/0000950131-22-005379-index.html</x:v>
      </x:c>
      <x:c r="L8" s="18" t="str">
        <x:v>0000950131-22-005378</x:v>
      </x:c>
      <x:c r="M8" s="18" t="str">
        <x:v>https://www.sec.gov/Archives/edgar/data/1914281/000095013122005378/d421573dex991.htm</x:v>
      </x:c>
      <x:c r="N8" s="22"/>
      <x:c r="O8" s="22"/>
      <x:c r="P8" s="22"/>
      <x:c r="Q8" s="18"/>
      <x:c r="R8" s="35"/>
      <x:c r="S8" s="35"/>
      <x:c r="T8" s="18"/>
      <x:c r="U8" s="35"/>
      <x:c r="V8" s="35"/>
      <x:c r="W8" s="18"/>
      <x:c r="X8" s="22"/>
      <x:c r="Y8" s="22"/>
      <x:c r="Z8" s="18"/>
      <x:c r="AA8" s="35"/>
      <x:c r="AB8" s="22"/>
      <x:c r="AC8" s="18"/>
      <x:c r="AD8" s="18"/>
      <x:c r="AE8" s="22" t="n">
        <x:v>291245.19</x:v>
      </x:c>
      <x:c r="AF8" s="18" t="str">
        <x:v>aggregate_net_liquidation_proceeds</x:v>
      </x:c>
      <x:c r="AG8" s="22" t="n">
        <x:v>263218.51</x:v>
      </x:c>
      <x:c r="AH8" s="22" t="n">
        <x:v>28026.68</x:v>
      </x:c>
      <x:c r="AI8" s="18" t="str">
        <x:v>UNRESOLVED</x:v>
      </x:c>
      <x:c r="AJ8" s="18" t="str">
        <x:v>TIED</x:v>
      </x:c>
      <x:c r="AK8" s="18" t="str">
        <x:v>TIED</x:v>
      </x:c>
      <x:c r="AL8" s="18"/>
      <x:c r="AM8" s="18"/>
      <x:c r="AN8" s="18" t="str">
        <x:v>toyota-30-59-60-89-90-119-120-plus</x:v>
      </x:c>
      <x:c r="AO8" s="35"/>
      <x:c r="AP8" s="18"/>
      <x:c r="AQ8" s="18" t="str">
        <x:v>recovery_comparator_delta</x:v>
      </x:c>
      <x:c r="AR8" s="18" t="str">
        <x:v>UNRESOLVED</x:v>
      </x:c>
      <x:c r="AS8" s="18" t="str">
        <x:v>No</x:v>
      </x:c>
      <x:c r="AT8" s="18" t="str">
        <x:v>Residual retained; public certificate sources do not attribute this ABS-EE aggregate delta to a timing, population, correction, or classification component.</x:v>
      </x:c>
    </x:row>
    <x:row r="9" ht="32" customHeight="1">
      <x:c r="A9" s="18" t="str">
        <x:v>toyota-2022-b-recovery-v1</x:v>
      </x:c>
      <x:c r="B9" s="18" t="str">
        <x:v>TOYOTA-2022-B</x:v>
      </x:c>
      <x:c r="C9" s="18" t="str">
        <x:v>Toyota Auto Receivables</x:v>
      </x:c>
      <x:c r="D9" s="18" t="str">
        <x:v>2022-11</x:v>
      </x:c>
      <x:c r="E9" s="18" t="str">
        <x:v>2022-11-30</x:v>
      </x:c>
      <x:c r="F9" s="18" t="str">
        <x:v>2022-11-01</x:v>
      </x:c>
      <x:c r="G9" s="18" t="str">
        <x:v>2022-11-30</x:v>
      </x:c>
      <x:c r="H9" s="35" t="n">
        <x:v>30</x:v>
      </x:c>
      <x:c r="I9" s="18" t="str">
        <x:v>2022-12-22</x:v>
      </x:c>
      <x:c r="J9" s="18" t="str">
        <x:v>0000950131-22-005791</x:v>
      </x:c>
      <x:c r="K9" s="18" t="str">
        <x:v>https://www.sec.gov/Archives/edgar/data/1914281/000095013122005791/0000950131-22-005791-index.html</x:v>
      </x:c>
      <x:c r="L9" s="18" t="str">
        <x:v>0000950131-22-005787</x:v>
      </x:c>
      <x:c r="M9" s="18" t="str">
        <x:v>https://www.sec.gov/Archives/edgar/data/1914281/000095013122005787/d267621dex991.htm</x:v>
      </x:c>
      <x:c r="N9" s="22"/>
      <x:c r="O9" s="22"/>
      <x:c r="P9" s="22"/>
      <x:c r="Q9" s="18"/>
      <x:c r="R9" s="35"/>
      <x:c r="S9" s="35"/>
      <x:c r="T9" s="18"/>
      <x:c r="U9" s="35"/>
      <x:c r="V9" s="35"/>
      <x:c r="W9" s="18"/>
      <x:c r="X9" s="22"/>
      <x:c r="Y9" s="22"/>
      <x:c r="Z9" s="18"/>
      <x:c r="AA9" s="35"/>
      <x:c r="AB9" s="22"/>
      <x:c r="AC9" s="18"/>
      <x:c r="AD9" s="18"/>
      <x:c r="AE9" s="22" t="n">
        <x:v>314036.51</x:v>
      </x:c>
      <x:c r="AF9" s="18" t="str">
        <x:v>aggregate_net_liquidation_proceeds</x:v>
      </x:c>
      <x:c r="AG9" s="22" t="n">
        <x:v>288092.53</x:v>
      </x:c>
      <x:c r="AH9" s="22" t="n">
        <x:v>25943.98</x:v>
      </x:c>
      <x:c r="AI9" s="18" t="str">
        <x:v>UNRESOLVED</x:v>
      </x:c>
      <x:c r="AJ9" s="18" t="str">
        <x:v>TIED</x:v>
      </x:c>
      <x:c r="AK9" s="18" t="str">
        <x:v>TIED</x:v>
      </x:c>
      <x:c r="AL9" s="18"/>
      <x:c r="AM9" s="18"/>
      <x:c r="AN9" s="18" t="str">
        <x:v>toyota-30-59-60-89-90-119-120-plus</x:v>
      </x:c>
      <x:c r="AO9" s="35"/>
      <x:c r="AP9" s="18"/>
      <x:c r="AQ9" s="18" t="str">
        <x:v>recovery_comparator_delta</x:v>
      </x:c>
      <x:c r="AR9" s="18" t="str">
        <x:v>UNRESOLVED</x:v>
      </x:c>
      <x:c r="AS9" s="18" t="str">
        <x:v>No</x:v>
      </x:c>
      <x:c r="AT9" s="18" t="str">
        <x:v>Residual retained; public certificate sources do not attribute this ABS-EE aggregate delta to a timing, population, correction, or classification component.</x:v>
      </x:c>
    </x:row>
    <x:row r="10" ht="32" customHeight="1">
      <x:c r="A10" s="18" t="str">
        <x:v>toyota-2022-b-recovery-v1</x:v>
      </x:c>
      <x:c r="B10" s="18" t="str">
        <x:v>TOYOTA-2022-B</x:v>
      </x:c>
      <x:c r="C10" s="18" t="str">
        <x:v>Toyota Auto Receivables</x:v>
      </x:c>
      <x:c r="D10" s="18" t="str">
        <x:v>2022-12</x:v>
      </x:c>
      <x:c r="E10" s="18" t="str">
        <x:v>2022-12-31</x:v>
      </x:c>
      <x:c r="F10" s="18" t="str">
        <x:v>2022-12-01</x:v>
      </x:c>
      <x:c r="G10" s="18" t="str">
        <x:v>2022-12-31</x:v>
      </x:c>
      <x:c r="H10" s="35" t="n">
        <x:v>31</x:v>
      </x:c>
      <x:c r="I10" s="18" t="str">
        <x:v>2023-01-27</x:v>
      </x:c>
      <x:c r="J10" s="18" t="str">
        <x:v>0000950131-23-000397</x:v>
      </x:c>
      <x:c r="K10" s="18" t="str">
        <x:v>https://www.sec.gov/Archives/edgar/data/1914281/000095013123000397/0000950131-23-000397-index.html</x:v>
      </x:c>
      <x:c r="L10" s="18" t="str">
        <x:v>0000950131-23-000393</x:v>
      </x:c>
      <x:c r="M10" s="18" t="str">
        <x:v>https://www.sec.gov/Archives/edgar/data/1914281/000095013123000393/d437652dex991.htm</x:v>
      </x:c>
      <x:c r="N10" s="22"/>
      <x:c r="O10" s="22"/>
      <x:c r="P10" s="22"/>
      <x:c r="Q10" s="18"/>
      <x:c r="R10" s="35"/>
      <x:c r="S10" s="35"/>
      <x:c r="T10" s="18"/>
      <x:c r="U10" s="35"/>
      <x:c r="V10" s="35"/>
      <x:c r="W10" s="18"/>
      <x:c r="X10" s="22"/>
      <x:c r="Y10" s="22"/>
      <x:c r="Z10" s="18"/>
      <x:c r="AA10" s="35"/>
      <x:c r="AB10" s="22"/>
      <x:c r="AC10" s="18"/>
      <x:c r="AD10" s="18"/>
      <x:c r="AE10" s="22" t="n">
        <x:v>206404.25</x:v>
      </x:c>
      <x:c r="AF10" s="18" t="str">
        <x:v>aggregate_net_liquidation_proceeds</x:v>
      </x:c>
      <x:c r="AG10" s="22" t="n">
        <x:v>180092.69</x:v>
      </x:c>
      <x:c r="AH10" s="22" t="n">
        <x:v>26311.56</x:v>
      </x:c>
      <x:c r="AI10" s="18" t="str">
        <x:v>UNRESOLVED</x:v>
      </x:c>
      <x:c r="AJ10" s="18" t="str">
        <x:v>TIED</x:v>
      </x:c>
      <x:c r="AK10" s="18" t="str">
        <x:v>TIED</x:v>
      </x:c>
      <x:c r="AL10" s="18"/>
      <x:c r="AM10" s="18"/>
      <x:c r="AN10" s="18" t="str">
        <x:v>toyota-30-59-60-89-90-119-120-plus</x:v>
      </x:c>
      <x:c r="AO10" s="35"/>
      <x:c r="AP10" s="18"/>
      <x:c r="AQ10" s="18" t="str">
        <x:v>recovery_comparator_delta</x:v>
      </x:c>
      <x:c r="AR10" s="18" t="str">
        <x:v>UNRESOLVED</x:v>
      </x:c>
      <x:c r="AS10" s="18" t="str">
        <x:v>No</x:v>
      </x:c>
      <x:c r="AT10" s="18" t="str">
        <x:v>Residual retained; public certificate sources do not attribute this ABS-EE aggregate delta to a timing, population, correction, or classification component.</x:v>
      </x:c>
    </x:row>
    <x:row r="11" ht="32" customHeight="1">
      <x:c r="A11" s="18" t="str">
        <x:v>toyota-2022-b-recovery-v1</x:v>
      </x:c>
      <x:c r="B11" s="18" t="str">
        <x:v>TOYOTA-2022-B</x:v>
      </x:c>
      <x:c r="C11" s="18" t="str">
        <x:v>Toyota Auto Receivables</x:v>
      </x:c>
      <x:c r="D11" s="18" t="str">
        <x:v>2023-01</x:v>
      </x:c>
      <x:c r="E11" s="18" t="str">
        <x:v>2023-01-31</x:v>
      </x:c>
      <x:c r="F11" s="18" t="str">
        <x:v>2023-01-01</x:v>
      </x:c>
      <x:c r="G11" s="18" t="str">
        <x:v>2023-01-31</x:v>
      </x:c>
      <x:c r="H11" s="35" t="n">
        <x:v>31</x:v>
      </x:c>
      <x:c r="I11" s="18" t="str">
        <x:v>2023-02-24</x:v>
      </x:c>
      <x:c r="J11" s="18" t="str">
        <x:v>0000950131-23-000849</x:v>
      </x:c>
      <x:c r="K11" s="18" t="str">
        <x:v>https://www.sec.gov/Archives/edgar/data/1914281/000095013123000849/0000950131-23-000849-index.html</x:v>
      </x:c>
      <x:c r="L11" s="18" t="str">
        <x:v>0000950131-23-000844</x:v>
      </x:c>
      <x:c r="M11" s="18" t="str">
        <x:v>https://www.sec.gov/Archives/edgar/data/1914281/000095013123000844/d453292dex991.htm</x:v>
      </x:c>
      <x:c r="N11" s="22"/>
      <x:c r="O11" s="22"/>
      <x:c r="P11" s="22"/>
      <x:c r="Q11" s="18"/>
      <x:c r="R11" s="35"/>
      <x:c r="S11" s="35"/>
      <x:c r="T11" s="18"/>
      <x:c r="U11" s="35"/>
      <x:c r="V11" s="35"/>
      <x:c r="W11" s="18"/>
      <x:c r="X11" s="22"/>
      <x:c r="Y11" s="22"/>
      <x:c r="Z11" s="18"/>
      <x:c r="AA11" s="35"/>
      <x:c r="AB11" s="22"/>
      <x:c r="AC11" s="18"/>
      <x:c r="AD11" s="18"/>
      <x:c r="AE11" s="22" t="n">
        <x:v>265116.81</x:v>
      </x:c>
      <x:c r="AF11" s="18" t="str">
        <x:v>aggregate_net_liquidation_proceeds</x:v>
      </x:c>
      <x:c r="AG11" s="22" t="n">
        <x:v>236973.63</x:v>
      </x:c>
      <x:c r="AH11" s="22" t="n">
        <x:v>28143.18</x:v>
      </x:c>
      <x:c r="AI11" s="18" t="str">
        <x:v>UNRESOLVED</x:v>
      </x:c>
      <x:c r="AJ11" s="18" t="str">
        <x:v>TIED</x:v>
      </x:c>
      <x:c r="AK11" s="18" t="str">
        <x:v>TIED</x:v>
      </x:c>
      <x:c r="AL11" s="18"/>
      <x:c r="AM11" s="18"/>
      <x:c r="AN11" s="18" t="str">
        <x:v>toyota-30-59-60-89-90-119-120-plus</x:v>
      </x:c>
      <x:c r="AO11" s="35"/>
      <x:c r="AP11" s="18"/>
      <x:c r="AQ11" s="18" t="str">
        <x:v>recovery_comparator_delta</x:v>
      </x:c>
      <x:c r="AR11" s="18" t="str">
        <x:v>UNRESOLVED</x:v>
      </x:c>
      <x:c r="AS11" s="18" t="str">
        <x:v>No</x:v>
      </x:c>
      <x:c r="AT11" s="18" t="str">
        <x:v>Residual retained; public certificate sources do not attribute this ABS-EE aggregate delta to a timing, population, correction, or classification component.</x:v>
      </x:c>
    </x:row>
    <x:row r="12" ht="32" customHeight="1">
      <x:c r="A12" s="18" t="str">
        <x:v>toyota-2022-b-recovery-v1</x:v>
      </x:c>
      <x:c r="B12" s="18" t="str">
        <x:v>TOYOTA-2022-B</x:v>
      </x:c>
      <x:c r="C12" s="18" t="str">
        <x:v>Toyota Auto Receivables</x:v>
      </x:c>
      <x:c r="D12" s="18" t="str">
        <x:v>2023-02</x:v>
      </x:c>
      <x:c r="E12" s="18" t="str">
        <x:v>2023-02-28</x:v>
      </x:c>
      <x:c r="F12" s="18" t="str">
        <x:v>2023-02-01</x:v>
      </x:c>
      <x:c r="G12" s="18" t="str">
        <x:v>2023-02-28</x:v>
      </x:c>
      <x:c r="H12" s="35" t="n">
        <x:v>28</x:v>
      </x:c>
      <x:c r="I12" s="18" t="str">
        <x:v>2023-03-29</x:v>
      </x:c>
      <x:c r="J12" s="18" t="str">
        <x:v>0000950131-23-001297</x:v>
      </x:c>
      <x:c r="K12" s="18" t="str">
        <x:v>https://www.sec.gov/Archives/edgar/data/1914281/000095013123001297/0000950131-23-001297-index.html</x:v>
      </x:c>
      <x:c r="L12" s="18" t="str">
        <x:v>0000950131-23-001293</x:v>
      </x:c>
      <x:c r="M12" s="18" t="str">
        <x:v>https://www.sec.gov/Archives/edgar/data/1914281/000095013123001293/d472362dex991.htm</x:v>
      </x:c>
      <x:c r="N12" s="22"/>
      <x:c r="O12" s="22"/>
      <x:c r="P12" s="22"/>
      <x:c r="Q12" s="18"/>
      <x:c r="R12" s="35"/>
      <x:c r="S12" s="35"/>
      <x:c r="T12" s="18"/>
      <x:c r="U12" s="35"/>
      <x:c r="V12" s="35"/>
      <x:c r="W12" s="18"/>
      <x:c r="X12" s="22"/>
      <x:c r="Y12" s="22"/>
      <x:c r="Z12" s="18"/>
      <x:c r="AA12" s="35"/>
      <x:c r="AB12" s="22"/>
      <x:c r="AC12" s="18"/>
      <x:c r="AD12" s="18"/>
      <x:c r="AE12" s="22" t="n">
        <x:v>309830.8</x:v>
      </x:c>
      <x:c r="AF12" s="18" t="str">
        <x:v>aggregate_net_liquidation_proceeds</x:v>
      </x:c>
      <x:c r="AG12" s="22" t="n">
        <x:v>263385.04</x:v>
      </x:c>
      <x:c r="AH12" s="22" t="n">
        <x:v>46445.76</x:v>
      </x:c>
      <x:c r="AI12" s="18" t="str">
        <x:v>UNRESOLVED</x:v>
      </x:c>
      <x:c r="AJ12" s="18" t="str">
        <x:v>TIED</x:v>
      </x:c>
      <x:c r="AK12" s="18" t="str">
        <x:v>TIED</x:v>
      </x:c>
      <x:c r="AL12" s="18"/>
      <x:c r="AM12" s="18"/>
      <x:c r="AN12" s="18" t="str">
        <x:v>toyota-30-59-60-89-90-119-120-plus</x:v>
      </x:c>
      <x:c r="AO12" s="35"/>
      <x:c r="AP12" s="18"/>
      <x:c r="AQ12" s="18" t="str">
        <x:v>recovery_comparator_delta</x:v>
      </x:c>
      <x:c r="AR12" s="18" t="str">
        <x:v>UNRESOLVED</x:v>
      </x:c>
      <x:c r="AS12" s="18" t="str">
        <x:v>No</x:v>
      </x:c>
      <x:c r="AT12" s="18" t="str">
        <x:v>Residual retained; public certificate sources do not attribute this ABS-EE aggregate delta to a timing, population, correction, or classification component.</x:v>
      </x:c>
    </x:row>
    <x:row r="13" ht="32" customHeight="1">
      <x:c r="A13" s="18" t="str">
        <x:v>toyota-2022-b-recovery-v1</x:v>
      </x:c>
      <x:c r="B13" s="18" t="str">
        <x:v>TOYOTA-2022-B</x:v>
      </x:c>
      <x:c r="C13" s="18" t="str">
        <x:v>Toyota Auto Receivables</x:v>
      </x:c>
      <x:c r="D13" s="18" t="str">
        <x:v>2023-03</x:v>
      </x:c>
      <x:c r="E13" s="18" t="str">
        <x:v>2023-03-31</x:v>
      </x:c>
      <x:c r="F13" s="18" t="str">
        <x:v>2023-03-01</x:v>
      </x:c>
      <x:c r="G13" s="18" t="str">
        <x:v>2023-03-31</x:v>
      </x:c>
      <x:c r="H13" s="35" t="n">
        <x:v>31</x:v>
      </x:c>
      <x:c r="I13" s="18" t="str">
        <x:v>2023-04-26</x:v>
      </x:c>
      <x:c r="J13" s="18" t="str">
        <x:v>0000950131-23-001691</x:v>
      </x:c>
      <x:c r="K13" s="18" t="str">
        <x:v>https://www.sec.gov/Archives/edgar/data/1914281/000095013123001691/0000950131-23-001691-index.html</x:v>
      </x:c>
      <x:c r="L13" s="18" t="str">
        <x:v>0000950131-23-001686</x:v>
      </x:c>
      <x:c r="M13" s="18" t="str">
        <x:v>https://www.sec.gov/Archives/edgar/data/1914281/000095013123001686/d439007dex991.htm</x:v>
      </x:c>
      <x:c r="N13" s="22"/>
      <x:c r="O13" s="22"/>
      <x:c r="P13" s="22"/>
      <x:c r="Q13" s="18"/>
      <x:c r="R13" s="35"/>
      <x:c r="S13" s="35"/>
      <x:c r="T13" s="18"/>
      <x:c r="U13" s="35"/>
      <x:c r="V13" s="35"/>
      <x:c r="W13" s="18"/>
      <x:c r="X13" s="22"/>
      <x:c r="Y13" s="22"/>
      <x:c r="Z13" s="18"/>
      <x:c r="AA13" s="35"/>
      <x:c r="AB13" s="22"/>
      <x:c r="AC13" s="18"/>
      <x:c r="AD13" s="18"/>
      <x:c r="AE13" s="22" t="n">
        <x:v>455056.19</x:v>
      </x:c>
      <x:c r="AF13" s="18" t="str">
        <x:v>aggregate_net_liquidation_proceeds</x:v>
      </x:c>
      <x:c r="AG13" s="22" t="n">
        <x:v>392583.09</x:v>
      </x:c>
      <x:c r="AH13" s="22" t="n">
        <x:v>62473.1</x:v>
      </x:c>
      <x:c r="AI13" s="18" t="str">
        <x:v>UNRESOLVED</x:v>
      </x:c>
      <x:c r="AJ13" s="18" t="str">
        <x:v>TIED</x:v>
      </x:c>
      <x:c r="AK13" s="18" t="str">
        <x:v>TIED</x:v>
      </x:c>
      <x:c r="AL13" s="18"/>
      <x:c r="AM13" s="18"/>
      <x:c r="AN13" s="18" t="str">
        <x:v>toyota-30-59-60-89-90-119-120-plus</x:v>
      </x:c>
      <x:c r="AO13" s="35"/>
      <x:c r="AP13" s="18"/>
      <x:c r="AQ13" s="18" t="str">
        <x:v>recovery_comparator_delta</x:v>
      </x:c>
      <x:c r="AR13" s="18" t="str">
        <x:v>UNRESOLVED</x:v>
      </x:c>
      <x:c r="AS13" s="18" t="str">
        <x:v>No</x:v>
      </x:c>
      <x:c r="AT13" s="18" t="str">
        <x:v>Residual retained; public certificate sources do not attribute this ABS-EE aggregate delta to a timing, population, correction, or classification component.</x:v>
      </x:c>
    </x:row>
    <x:row r="14" ht="32" customHeight="1">
      <x:c r="A14" s="18" t="str">
        <x:v>toyota-2022-b-recovery-v1</x:v>
      </x:c>
      <x:c r="B14" s="18" t="str">
        <x:v>TOYOTA-2022-B</x:v>
      </x:c>
      <x:c r="C14" s="18" t="str">
        <x:v>Toyota Auto Receivables</x:v>
      </x:c>
      <x:c r="D14" s="18" t="str">
        <x:v>2023-04</x:v>
      </x:c>
      <x:c r="E14" s="18" t="str">
        <x:v>2023-04-30</x:v>
      </x:c>
      <x:c r="F14" s="18" t="str">
        <x:v>2023-04-01</x:v>
      </x:c>
      <x:c r="G14" s="18" t="str">
        <x:v>2023-04-30</x:v>
      </x:c>
      <x:c r="H14" s="35" t="n">
        <x:v>30</x:v>
      </x:c>
      <x:c r="I14" s="18" t="str">
        <x:v>2023-05-30</x:v>
      </x:c>
      <x:c r="J14" s="18" t="str">
        <x:v>0000950131-23-002140</x:v>
      </x:c>
      <x:c r="K14" s="18" t="str">
        <x:v>https://www.sec.gov/Archives/edgar/data/1914281/000095013123002140/0000950131-23-002140-index.html</x:v>
      </x:c>
      <x:c r="L14" s="18" t="str">
        <x:v>0000950131-23-002135</x:v>
      </x:c>
      <x:c r="M14" s="18" t="str">
        <x:v>https://www.sec.gov/Archives/edgar/data/1914281/000095013123002135/d504661dex991.htm</x:v>
      </x:c>
      <x:c r="N14" s="22"/>
      <x:c r="O14" s="22"/>
      <x:c r="P14" s="22"/>
      <x:c r="Q14" s="18"/>
      <x:c r="R14" s="35"/>
      <x:c r="S14" s="35"/>
      <x:c r="T14" s="18"/>
      <x:c r="U14" s="35"/>
      <x:c r="V14" s="35"/>
      <x:c r="W14" s="18"/>
      <x:c r="X14" s="22"/>
      <x:c r="Y14" s="22"/>
      <x:c r="Z14" s="18"/>
      <x:c r="AA14" s="35"/>
      <x:c r="AB14" s="22"/>
      <x:c r="AC14" s="18"/>
      <x:c r="AD14" s="18"/>
      <x:c r="AE14" s="22" t="n">
        <x:v>434415.62</x:v>
      </x:c>
      <x:c r="AF14" s="18" t="str">
        <x:v>aggregate_net_liquidation_proceeds</x:v>
      </x:c>
      <x:c r="AG14" s="22" t="n">
        <x:v>379709.6</x:v>
      </x:c>
      <x:c r="AH14" s="22" t="n">
        <x:v>54706.02</x:v>
      </x:c>
      <x:c r="AI14" s="18" t="str">
        <x:v>UNRESOLVED</x:v>
      </x:c>
      <x:c r="AJ14" s="18" t="str">
        <x:v>TIED</x:v>
      </x:c>
      <x:c r="AK14" s="18" t="str">
        <x:v>TIED</x:v>
      </x:c>
      <x:c r="AL14" s="18"/>
      <x:c r="AM14" s="18"/>
      <x:c r="AN14" s="18" t="str">
        <x:v>toyota-30-59-60-89-90-119-120-plus</x:v>
      </x:c>
      <x:c r="AO14" s="35"/>
      <x:c r="AP14" s="18"/>
      <x:c r="AQ14" s="18" t="str">
        <x:v>recovery_comparator_delta</x:v>
      </x:c>
      <x:c r="AR14" s="18" t="str">
        <x:v>UNRESOLVED</x:v>
      </x:c>
      <x:c r="AS14" s="18" t="str">
        <x:v>No</x:v>
      </x:c>
      <x:c r="AT14" s="18" t="str">
        <x:v>Residual retained; public certificate sources do not attribute this ABS-EE aggregate delta to a timing, population, correction, or classification component.</x:v>
      </x:c>
    </x:row>
    <x:row r="15" ht="32" customHeight="1">
      <x:c r="A15" s="18" t="str">
        <x:v>toyota-2022-b-recovery-v1</x:v>
      </x:c>
      <x:c r="B15" s="18" t="str">
        <x:v>TOYOTA-2022-B</x:v>
      </x:c>
      <x:c r="C15" s="18" t="str">
        <x:v>Toyota Auto Receivables</x:v>
      </x:c>
      <x:c r="D15" s="18" t="str">
        <x:v>2023-05</x:v>
      </x:c>
      <x:c r="E15" s="18" t="str">
        <x:v>2023-05-31</x:v>
      </x:c>
      <x:c r="F15" s="18" t="str">
        <x:v>2023-05-01</x:v>
      </x:c>
      <x:c r="G15" s="18" t="str">
        <x:v>2023-05-31</x:v>
      </x:c>
      <x:c r="H15" s="35" t="n">
        <x:v>31</x:v>
      </x:c>
      <x:c r="I15" s="18" t="str">
        <x:v>2023-06-28</x:v>
      </x:c>
      <x:c r="J15" s="18" t="str">
        <x:v>0000950131-23-002549</x:v>
      </x:c>
      <x:c r="K15" s="18" t="str">
        <x:v>https://www.sec.gov/Archives/edgar/data/1914281/000095013123002549/0000950131-23-002549-index.html</x:v>
      </x:c>
      <x:c r="L15" s="18" t="str">
        <x:v>0000950131-23-002545</x:v>
      </x:c>
      <x:c r="M15" s="18" t="str">
        <x:v>https://www.sec.gov/Archives/edgar/data/1914281/000095013123002545/d465458dex991.htm</x:v>
      </x:c>
      <x:c r="N15" s="22"/>
      <x:c r="O15" s="22"/>
      <x:c r="P15" s="22"/>
      <x:c r="Q15" s="18"/>
      <x:c r="R15" s="35"/>
      <x:c r="S15" s="35"/>
      <x:c r="T15" s="18"/>
      <x:c r="U15" s="35"/>
      <x:c r="V15" s="35"/>
      <x:c r="W15" s="18"/>
      <x:c r="X15" s="22"/>
      <x:c r="Y15" s="22"/>
      <x:c r="Z15" s="18"/>
      <x:c r="AA15" s="35"/>
      <x:c r="AB15" s="22"/>
      <x:c r="AC15" s="18"/>
      <x:c r="AD15" s="18"/>
      <x:c r="AE15" s="22" t="n">
        <x:v>504219.77</x:v>
      </x:c>
      <x:c r="AF15" s="18" t="str">
        <x:v>aggregate_net_liquidation_proceeds</x:v>
      </x:c>
      <x:c r="AG15" s="22" t="n">
        <x:v>441106.51</x:v>
      </x:c>
      <x:c r="AH15" s="22" t="n">
        <x:v>63113.26</x:v>
      </x:c>
      <x:c r="AI15" s="18" t="str">
        <x:v>UNRESOLVED</x:v>
      </x:c>
      <x:c r="AJ15" s="18" t="str">
        <x:v>TIED</x:v>
      </x:c>
      <x:c r="AK15" s="18" t="str">
        <x:v>TIED</x:v>
      </x:c>
      <x:c r="AL15" s="18"/>
      <x:c r="AM15" s="18"/>
      <x:c r="AN15" s="18" t="str">
        <x:v>toyota-30-59-60-89-90-119-120-plus</x:v>
      </x:c>
      <x:c r="AO15" s="35"/>
      <x:c r="AP15" s="18"/>
      <x:c r="AQ15" s="18" t="str">
        <x:v>recovery_comparator_delta</x:v>
      </x:c>
      <x:c r="AR15" s="18" t="str">
        <x:v>UNRESOLVED</x:v>
      </x:c>
      <x:c r="AS15" s="18" t="str">
        <x:v>No</x:v>
      </x:c>
      <x:c r="AT15" s="18" t="str">
        <x:v>Residual retained; public certificate sources do not attribute this ABS-EE aggregate delta to a timing, population, correction, or classification component.</x:v>
      </x:c>
    </x:row>
    <x:row r="16" ht="32" customHeight="1">
      <x:c r="A16" s="18" t="str">
        <x:v>toyota-2022-b-recovery-v1</x:v>
      </x:c>
      <x:c r="B16" s="18" t="str">
        <x:v>TOYOTA-2022-B</x:v>
      </x:c>
      <x:c r="C16" s="18" t="str">
        <x:v>Toyota Auto Receivables</x:v>
      </x:c>
      <x:c r="D16" s="18" t="str">
        <x:v>2023-06</x:v>
      </x:c>
      <x:c r="E16" s="18" t="str">
        <x:v>2023-06-30</x:v>
      </x:c>
      <x:c r="F16" s="18" t="str">
        <x:v>2023-06-01</x:v>
      </x:c>
      <x:c r="G16" s="18" t="str">
        <x:v>2023-06-30</x:v>
      </x:c>
      <x:c r="H16" s="35" t="n">
        <x:v>30</x:v>
      </x:c>
      <x:c r="I16" s="18" t="str">
        <x:v>2023-07-27</x:v>
      </x:c>
      <x:c r="J16" s="18" t="str">
        <x:v>0000950131-23-002961</x:v>
      </x:c>
      <x:c r="K16" s="18" t="str">
        <x:v>https://www.sec.gov/Archives/edgar/data/1914281/000095013123002961/0000950131-23-002961-index.html</x:v>
      </x:c>
      <x:c r="L16" s="18" t="str">
        <x:v>0000950131-23-002957</x:v>
      </x:c>
      <x:c r="M16" s="18" t="str">
        <x:v>https://www.sec.gov/Archives/edgar/data/1914281/000095013123002957/d500011dex991.htm</x:v>
      </x:c>
      <x:c r="N16" s="22"/>
      <x:c r="O16" s="22"/>
      <x:c r="P16" s="22"/>
      <x:c r="Q16" s="18"/>
      <x:c r="R16" s="35"/>
      <x:c r="S16" s="35"/>
      <x:c r="T16" s="18"/>
      <x:c r="U16" s="35"/>
      <x:c r="V16" s="35"/>
      <x:c r="W16" s="18"/>
      <x:c r="X16" s="22"/>
      <x:c r="Y16" s="22"/>
      <x:c r="Z16" s="18"/>
      <x:c r="AA16" s="35"/>
      <x:c r="AB16" s="22"/>
      <x:c r="AC16" s="18"/>
      <x:c r="AD16" s="18"/>
      <x:c r="AE16" s="22" t="n">
        <x:v>426222.33</x:v>
      </x:c>
      <x:c r="AF16" s="18" t="str">
        <x:v>aggregate_net_liquidation_proceeds</x:v>
      </x:c>
      <x:c r="AG16" s="22" t="n">
        <x:v>375745.35</x:v>
      </x:c>
      <x:c r="AH16" s="22" t="n">
        <x:v>50476.98</x:v>
      </x:c>
      <x:c r="AI16" s="18" t="str">
        <x:v>UNRESOLVED</x:v>
      </x:c>
      <x:c r="AJ16" s="18" t="str">
        <x:v>TIED</x:v>
      </x:c>
      <x:c r="AK16" s="18" t="str">
        <x:v>TIED</x:v>
      </x:c>
      <x:c r="AL16" s="18"/>
      <x:c r="AM16" s="18"/>
      <x:c r="AN16" s="18" t="str">
        <x:v>toyota-30-59-60-89-90-119-120-plus</x:v>
      </x:c>
      <x:c r="AO16" s="35"/>
      <x:c r="AP16" s="18"/>
      <x:c r="AQ16" s="18" t="str">
        <x:v>recovery_comparator_delta</x:v>
      </x:c>
      <x:c r="AR16" s="18" t="str">
        <x:v>UNRESOLVED</x:v>
      </x:c>
      <x:c r="AS16" s="18" t="str">
        <x:v>No</x:v>
      </x:c>
      <x:c r="AT16" s="18" t="str">
        <x:v>Residual retained; public certificate sources do not attribute this ABS-EE aggregate delta to a timing, population, correction, or classification component.</x:v>
      </x:c>
    </x:row>
    <x:row r="17" ht="32" customHeight="1">
      <x:c r="A17" s="18" t="str">
        <x:v>toyota-2022-b-recovery-v1</x:v>
      </x:c>
      <x:c r="B17" s="18" t="str">
        <x:v>TOYOTA-2022-B</x:v>
      </x:c>
      <x:c r="C17" s="18" t="str">
        <x:v>Toyota Auto Receivables</x:v>
      </x:c>
      <x:c r="D17" s="18" t="str">
        <x:v>2023-07</x:v>
      </x:c>
      <x:c r="E17" s="18" t="str">
        <x:v>2023-07-31</x:v>
      </x:c>
      <x:c r="F17" s="18" t="str">
        <x:v>2023-07-01</x:v>
      </x:c>
      <x:c r="G17" s="18" t="str">
        <x:v>2023-07-31</x:v>
      </x:c>
      <x:c r="H17" s="35" t="n">
        <x:v>31</x:v>
      </x:c>
      <x:c r="I17" s="18" t="str">
        <x:v>2023-08-29</x:v>
      </x:c>
      <x:c r="J17" s="18" t="str">
        <x:v>0000950131-23-003368</x:v>
      </x:c>
      <x:c r="K17" s="18" t="str">
        <x:v>https://www.sec.gov/Archives/edgar/data/1914281/000095013123003368/0000950131-23-003368-index.html</x:v>
      </x:c>
      <x:c r="L17" s="18" t="str">
        <x:v>0000950131-23-003364</x:v>
      </x:c>
      <x:c r="M17" s="18" t="str">
        <x:v>https://www.sec.gov/Archives/edgar/data/1914281/000095013123003364/d493039dex991.htm</x:v>
      </x:c>
      <x:c r="N17" s="22"/>
      <x:c r="O17" s="22"/>
      <x:c r="P17" s="22"/>
      <x:c r="Q17" s="18"/>
      <x:c r="R17" s="35"/>
      <x:c r="S17" s="35"/>
      <x:c r="T17" s="18"/>
      <x:c r="U17" s="35"/>
      <x:c r="V17" s="35"/>
      <x:c r="W17" s="18"/>
      <x:c r="X17" s="22"/>
      <x:c r="Y17" s="22"/>
      <x:c r="Z17" s="18"/>
      <x:c r="AA17" s="35"/>
      <x:c r="AB17" s="22"/>
      <x:c r="AC17" s="18"/>
      <x:c r="AD17" s="18"/>
      <x:c r="AE17" s="22" t="n">
        <x:v>675082.28</x:v>
      </x:c>
      <x:c r="AF17" s="18" t="str">
        <x:v>aggregate_net_liquidation_proceeds</x:v>
      </x:c>
      <x:c r="AG17" s="22" t="n">
        <x:v>637605.98</x:v>
      </x:c>
      <x:c r="AH17" s="22" t="n">
        <x:v>37476.3</x:v>
      </x:c>
      <x:c r="AI17" s="18" t="str">
        <x:v>UNRESOLVED</x:v>
      </x:c>
      <x:c r="AJ17" s="18" t="str">
        <x:v>TIED</x:v>
      </x:c>
      <x:c r="AK17" s="18" t="str">
        <x:v>TIED</x:v>
      </x:c>
      <x:c r="AL17" s="18"/>
      <x:c r="AM17" s="18"/>
      <x:c r="AN17" s="18" t="str">
        <x:v>toyota-30-59-60-89-90-119-120-plus</x:v>
      </x:c>
      <x:c r="AO17" s="35"/>
      <x:c r="AP17" s="18"/>
      <x:c r="AQ17" s="18" t="str">
        <x:v>recovery_comparator_delta</x:v>
      </x:c>
      <x:c r="AR17" s="18" t="str">
        <x:v>UNRESOLVED</x:v>
      </x:c>
      <x:c r="AS17" s="18" t="str">
        <x:v>No</x:v>
      </x:c>
      <x:c r="AT17" s="18" t="str">
        <x:v>Residual retained; public certificate sources do not attribute this ABS-EE aggregate delta to a timing, population, correction, or classification component.</x:v>
      </x:c>
    </x:row>
    <x:row r="18" ht="32" customHeight="1">
      <x:c r="A18" s="18" t="str">
        <x:v>toyota-2022-b-recovery-v1</x:v>
      </x:c>
      <x:c r="B18" s="18" t="str">
        <x:v>TOYOTA-2022-B</x:v>
      </x:c>
      <x:c r="C18" s="18" t="str">
        <x:v>Toyota Auto Receivables</x:v>
      </x:c>
      <x:c r="D18" s="18" t="str">
        <x:v>2023-08</x:v>
      </x:c>
      <x:c r="E18" s="18" t="str">
        <x:v>2023-08-31</x:v>
      </x:c>
      <x:c r="F18" s="18" t="str">
        <x:v>2023-08-01</x:v>
      </x:c>
      <x:c r="G18" s="18" t="str">
        <x:v>2023-08-31</x:v>
      </x:c>
      <x:c r="H18" s="35" t="n">
        <x:v>31</x:v>
      </x:c>
      <x:c r="I18" s="18" t="str">
        <x:v>2023-09-27</x:v>
      </x:c>
      <x:c r="J18" s="18" t="str">
        <x:v>0000950131-23-003773</x:v>
      </x:c>
      <x:c r="K18" s="18" t="str">
        <x:v>https://www.sec.gov/Archives/edgar/data/1914281/000095013123003773/0000950131-23-003773-index.html</x:v>
      </x:c>
      <x:c r="L18" s="18" t="str">
        <x:v>0000950131-23-003768</x:v>
      </x:c>
      <x:c r="M18" s="18" t="str">
        <x:v>https://www.sec.gov/Archives/edgar/data/1914281/000095013123003768/d537921dex991.htm</x:v>
      </x:c>
      <x:c r="N18" s="22"/>
      <x:c r="O18" s="22"/>
      <x:c r="P18" s="22"/>
      <x:c r="Q18" s="18"/>
      <x:c r="R18" s="35"/>
      <x:c r="S18" s="35"/>
      <x:c r="T18" s="18"/>
      <x:c r="U18" s="35"/>
      <x:c r="V18" s="35"/>
      <x:c r="W18" s="18"/>
      <x:c r="X18" s="22"/>
      <x:c r="Y18" s="22"/>
      <x:c r="Z18" s="18"/>
      <x:c r="AA18" s="35"/>
      <x:c r="AB18" s="22"/>
      <x:c r="AC18" s="18"/>
      <x:c r="AD18" s="18"/>
      <x:c r="AE18" s="22" t="n">
        <x:v>357891.61</x:v>
      </x:c>
      <x:c r="AF18" s="18" t="str">
        <x:v>aggregate_net_liquidation_proceeds</x:v>
      </x:c>
      <x:c r="AG18" s="22" t="n">
        <x:v>317864.61</x:v>
      </x:c>
      <x:c r="AH18" s="22" t="n">
        <x:v>40027</x:v>
      </x:c>
      <x:c r="AI18" s="18" t="str">
        <x:v>UNRESOLVED</x:v>
      </x:c>
      <x:c r="AJ18" s="18" t="str">
        <x:v>TIED</x:v>
      </x:c>
      <x:c r="AK18" s="18" t="str">
        <x:v>TIED</x:v>
      </x:c>
      <x:c r="AL18" s="18"/>
      <x:c r="AM18" s="18"/>
      <x:c r="AN18" s="18" t="str">
        <x:v>toyota-30-59-60-89-90-119-120-plus</x:v>
      </x:c>
      <x:c r="AO18" s="35"/>
      <x:c r="AP18" s="18"/>
      <x:c r="AQ18" s="18" t="str">
        <x:v>recovery_comparator_delta</x:v>
      </x:c>
      <x:c r="AR18" s="18" t="str">
        <x:v>UNRESOLVED</x:v>
      </x:c>
      <x:c r="AS18" s="18" t="str">
        <x:v>No</x:v>
      </x:c>
      <x:c r="AT18" s="18" t="str">
        <x:v>Residual retained; public certificate sources do not attribute this ABS-EE aggregate delta to a timing, population, correction, or classification component.</x:v>
      </x:c>
    </x:row>
    <x:row r="19" ht="32" customHeight="1">
      <x:c r="A19" s="18" t="str">
        <x:v>toyota-2022-b-recovery-v1</x:v>
      </x:c>
      <x:c r="B19" s="18" t="str">
        <x:v>TOYOTA-2022-B</x:v>
      </x:c>
      <x:c r="C19" s="18" t="str">
        <x:v>Toyota Auto Receivables</x:v>
      </x:c>
      <x:c r="D19" s="18" t="str">
        <x:v>2023-09</x:v>
      </x:c>
      <x:c r="E19" s="18" t="str">
        <x:v>2023-09-30</x:v>
      </x:c>
      <x:c r="F19" s="18" t="str">
        <x:v>2023-09-01</x:v>
      </x:c>
      <x:c r="G19" s="18" t="str">
        <x:v>2023-09-30</x:v>
      </x:c>
      <x:c r="H19" s="35" t="n">
        <x:v>30</x:v>
      </x:c>
      <x:c r="I19" s="18" t="str">
        <x:v>2023-10-27</x:v>
      </x:c>
      <x:c r="J19" s="18" t="str">
        <x:v>0000950131-23-004234</x:v>
      </x:c>
      <x:c r="K19" s="18" t="str">
        <x:v>https://www.sec.gov/Archives/edgar/data/1914281/000095013123004234/0000950131-23-004234-index.html</x:v>
      </x:c>
      <x:c r="L19" s="18" t="str">
        <x:v>0000950131-23-004229</x:v>
      </x:c>
      <x:c r="M19" s="18" t="str">
        <x:v>https://www.sec.gov/Archives/edgar/data/1914281/000095013123004229/d552952dex991.htm</x:v>
      </x:c>
      <x:c r="N19" s="22"/>
      <x:c r="O19" s="22"/>
      <x:c r="P19" s="22"/>
      <x:c r="Q19" s="18"/>
      <x:c r="R19" s="35"/>
      <x:c r="S19" s="35"/>
      <x:c r="T19" s="18"/>
      <x:c r="U19" s="35"/>
      <x:c r="V19" s="35"/>
      <x:c r="W19" s="18"/>
      <x:c r="X19" s="22"/>
      <x:c r="Y19" s="22"/>
      <x:c r="Z19" s="18"/>
      <x:c r="AA19" s="35"/>
      <x:c r="AB19" s="22"/>
      <x:c r="AC19" s="18"/>
      <x:c r="AD19" s="18"/>
      <x:c r="AE19" s="22" t="n">
        <x:v>218980.09</x:v>
      </x:c>
      <x:c r="AF19" s="18" t="str">
        <x:v>aggregate_net_liquidation_proceeds</x:v>
      </x:c>
      <x:c r="AG19" s="22" t="n">
        <x:v>178697.31</x:v>
      </x:c>
      <x:c r="AH19" s="22" t="n">
        <x:v>40282.78</x:v>
      </x:c>
      <x:c r="AI19" s="18" t="str">
        <x:v>UNRESOLVED</x:v>
      </x:c>
      <x:c r="AJ19" s="18" t="str">
        <x:v>TIED</x:v>
      </x:c>
      <x:c r="AK19" s="18" t="str">
        <x:v>TIED</x:v>
      </x:c>
      <x:c r="AL19" s="18"/>
      <x:c r="AM19" s="18"/>
      <x:c r="AN19" s="18" t="str">
        <x:v>toyota-30-59-60-89-90-119-120-plus</x:v>
      </x:c>
      <x:c r="AO19" s="35"/>
      <x:c r="AP19" s="18"/>
      <x:c r="AQ19" s="18" t="str">
        <x:v>recovery_comparator_delta</x:v>
      </x:c>
      <x:c r="AR19" s="18" t="str">
        <x:v>UNRESOLVED</x:v>
      </x:c>
      <x:c r="AS19" s="18" t="str">
        <x:v>No</x:v>
      </x:c>
      <x:c r="AT19" s="18" t="str">
        <x:v>Residual retained; public certificate sources do not attribute this ABS-EE aggregate delta to a timing, population, correction, or classification component.</x:v>
      </x:c>
    </x:row>
    <x:row r="20" ht="32" customHeight="1">
      <x:c r="A20" s="18" t="str">
        <x:v>toyota-2022-b-recovery-v1</x:v>
      </x:c>
      <x:c r="B20" s="18" t="str">
        <x:v>TOYOTA-2022-B</x:v>
      </x:c>
      <x:c r="C20" s="18" t="str">
        <x:v>Toyota Auto Receivables</x:v>
      </x:c>
      <x:c r="D20" s="18" t="str">
        <x:v>2023-10</x:v>
      </x:c>
      <x:c r="E20" s="18" t="str">
        <x:v>2023-10-31</x:v>
      </x:c>
      <x:c r="F20" s="18" t="str">
        <x:v>2023-10-01</x:v>
      </x:c>
      <x:c r="G20" s="18" t="str">
        <x:v>2023-10-31</x:v>
      </x:c>
      <x:c r="H20" s="35" t="n">
        <x:v>31</x:v>
      </x:c>
      <x:c r="I20" s="18" t="str">
        <x:v>2023-11-28</x:v>
      </x:c>
      <x:c r="J20" s="18" t="str">
        <x:v>0000950131-23-004638</x:v>
      </x:c>
      <x:c r="K20" s="18" t="str">
        <x:v>https://www.sec.gov/Archives/edgar/data/1914281/000095013123004638/0000950131-23-004638-index.html</x:v>
      </x:c>
      <x:c r="L20" s="18" t="str">
        <x:v>0000950131-23-004634</x:v>
      </x:c>
      <x:c r="M20" s="18" t="str">
        <x:v>https://www.sec.gov/Archives/edgar/data/1914281/000095013123004634/d930417dex991.htm</x:v>
      </x:c>
      <x:c r="N20" s="22"/>
      <x:c r="O20" s="22"/>
      <x:c r="P20" s="22"/>
      <x:c r="Q20" s="18"/>
      <x:c r="R20" s="35"/>
      <x:c r="S20" s="35"/>
      <x:c r="T20" s="18"/>
      <x:c r="U20" s="35"/>
      <x:c r="V20" s="35"/>
      <x:c r="W20" s="18"/>
      <x:c r="X20" s="22"/>
      <x:c r="Y20" s="22"/>
      <x:c r="Z20" s="18"/>
      <x:c r="AA20" s="35"/>
      <x:c r="AB20" s="22"/>
      <x:c r="AC20" s="18"/>
      <x:c r="AD20" s="18"/>
      <x:c r="AE20" s="22" t="n">
        <x:v>388331.78</x:v>
      </x:c>
      <x:c r="AF20" s="18" t="str">
        <x:v>aggregate_net_liquidation_proceeds</x:v>
      </x:c>
      <x:c r="AG20" s="22" t="n">
        <x:v>358375.98</x:v>
      </x:c>
      <x:c r="AH20" s="22" t="n">
        <x:v>29955.8</x:v>
      </x:c>
      <x:c r="AI20" s="18" t="str">
        <x:v>UNRESOLVED</x:v>
      </x:c>
      <x:c r="AJ20" s="18" t="str">
        <x:v>TIED</x:v>
      </x:c>
      <x:c r="AK20" s="18" t="str">
        <x:v>TIED</x:v>
      </x:c>
      <x:c r="AL20" s="18"/>
      <x:c r="AM20" s="18"/>
      <x:c r="AN20" s="18" t="str">
        <x:v>toyota-30-59-60-89-90-119-120-plus</x:v>
      </x:c>
      <x:c r="AO20" s="35"/>
      <x:c r="AP20" s="18"/>
      <x:c r="AQ20" s="18" t="str">
        <x:v>recovery_comparator_delta</x:v>
      </x:c>
      <x:c r="AR20" s="18" t="str">
        <x:v>UNRESOLVED</x:v>
      </x:c>
      <x:c r="AS20" s="18" t="str">
        <x:v>No</x:v>
      </x:c>
      <x:c r="AT20" s="18" t="str">
        <x:v>Residual retained; public certificate sources do not attribute this ABS-EE aggregate delta to a timing, population, correction, or classification component.</x:v>
      </x:c>
    </x:row>
    <x:row r="21" ht="32" customHeight="1">
      <x:c r="A21" s="18" t="str">
        <x:v>toyota-2022-b-recovery-v1</x:v>
      </x:c>
      <x:c r="B21" s="18" t="str">
        <x:v>TOYOTA-2022-B</x:v>
      </x:c>
      <x:c r="C21" s="18" t="str">
        <x:v>Toyota Auto Receivables</x:v>
      </x:c>
      <x:c r="D21" s="18" t="str">
        <x:v>2023-11</x:v>
      </x:c>
      <x:c r="E21" s="18" t="str">
        <x:v>2023-11-30</x:v>
      </x:c>
      <x:c r="F21" s="18" t="str">
        <x:v>2023-11-01</x:v>
      </x:c>
      <x:c r="G21" s="18" t="str">
        <x:v>2023-11-30</x:v>
      </x:c>
      <x:c r="H21" s="35" t="n">
        <x:v>30</x:v>
      </x:c>
      <x:c r="I21" s="18" t="str">
        <x:v>2023-12-21</x:v>
      </x:c>
      <x:c r="J21" s="18" t="str">
        <x:v>0000950131-23-005033</x:v>
      </x:c>
      <x:c r="K21" s="18" t="str">
        <x:v>https://www.sec.gov/Archives/edgar/data/1914281/000095013123005033/0000950131-23-005033-index.html</x:v>
      </x:c>
      <x:c r="L21" s="18" t="str">
        <x:v>0000950131-23-005027</x:v>
      </x:c>
      <x:c r="M21" s="18" t="str">
        <x:v>https://www.sec.gov/Archives/edgar/data/1914281/000095013123005027/d719716dex991.htm</x:v>
      </x:c>
      <x:c r="N21" s="22"/>
      <x:c r="O21" s="22"/>
      <x:c r="P21" s="22"/>
      <x:c r="Q21" s="18"/>
      <x:c r="R21" s="35"/>
      <x:c r="S21" s="35"/>
      <x:c r="T21" s="18"/>
      <x:c r="U21" s="35"/>
      <x:c r="V21" s="35"/>
      <x:c r="W21" s="18"/>
      <x:c r="X21" s="22"/>
      <x:c r="Y21" s="22"/>
      <x:c r="Z21" s="18"/>
      <x:c r="AA21" s="35"/>
      <x:c r="AB21" s="22"/>
      <x:c r="AC21" s="18"/>
      <x:c r="AD21" s="18"/>
      <x:c r="AE21" s="22" t="n">
        <x:v>517723.67</x:v>
      </x:c>
      <x:c r="AF21" s="18" t="str">
        <x:v>aggregate_net_liquidation_proceeds</x:v>
      </x:c>
      <x:c r="AG21" s="22" t="n">
        <x:v>473014.97</x:v>
      </x:c>
      <x:c r="AH21" s="22" t="n">
        <x:v>44708.7</x:v>
      </x:c>
      <x:c r="AI21" s="18" t="str">
        <x:v>UNRESOLVED</x:v>
      </x:c>
      <x:c r="AJ21" s="18" t="str">
        <x:v>TIED</x:v>
      </x:c>
      <x:c r="AK21" s="18" t="str">
        <x:v>TIED</x:v>
      </x:c>
      <x:c r="AL21" s="18"/>
      <x:c r="AM21" s="18"/>
      <x:c r="AN21" s="18" t="str">
        <x:v>toyota-30-59-60-89-90-119-120-plus</x:v>
      </x:c>
      <x:c r="AO21" s="35"/>
      <x:c r="AP21" s="18"/>
      <x:c r="AQ21" s="18" t="str">
        <x:v>recovery_comparator_delta</x:v>
      </x:c>
      <x:c r="AR21" s="18" t="str">
        <x:v>UNRESOLVED</x:v>
      </x:c>
      <x:c r="AS21" s="18" t="str">
        <x:v>No</x:v>
      </x:c>
      <x:c r="AT21" s="18" t="str">
        <x:v>Residual retained; public certificate sources do not attribute this ABS-EE aggregate delta to a timing, population, correction, or classification component.</x:v>
      </x:c>
    </x:row>
    <x:row r="22" ht="32" customHeight="1">
      <x:c r="A22" s="18" t="str">
        <x:v>toyota-2022-b-recovery-v1</x:v>
      </x:c>
      <x:c r="B22" s="18" t="str">
        <x:v>TOYOTA-2022-B</x:v>
      </x:c>
      <x:c r="C22" s="18" t="str">
        <x:v>Toyota Auto Receivables</x:v>
      </x:c>
      <x:c r="D22" s="18" t="str">
        <x:v>2023-12</x:v>
      </x:c>
      <x:c r="E22" s="18" t="str">
        <x:v>2023-12-31</x:v>
      </x:c>
      <x:c r="F22" s="18" t="str">
        <x:v>2023-12-01</x:v>
      </x:c>
      <x:c r="G22" s="18" t="str">
        <x:v>2023-12-31</x:v>
      </x:c>
      <x:c r="H22" s="35" t="n">
        <x:v>31</x:v>
      </x:c>
      <x:c r="I22" s="18" t="str">
        <x:v>2024-01-29</x:v>
      </x:c>
      <x:c r="J22" s="18" t="str">
        <x:v>0000950131-24-000384</x:v>
      </x:c>
      <x:c r="K22" s="18" t="str">
        <x:v>https://www.sec.gov/Archives/edgar/data/1914281/000095013124000384/0000950131-24-000384-index.html</x:v>
      </x:c>
      <x:c r="L22" s="18" t="str">
        <x:v>0000950131-24-000380</x:v>
      </x:c>
      <x:c r="M22" s="18" t="str">
        <x:v>https://www.sec.gov/Archives/edgar/data/1914281/000095013124000380/d683097dex991.htm</x:v>
      </x:c>
      <x:c r="N22" s="22"/>
      <x:c r="O22" s="22"/>
      <x:c r="P22" s="22"/>
      <x:c r="Q22" s="18"/>
      <x:c r="R22" s="35"/>
      <x:c r="S22" s="35"/>
      <x:c r="T22" s="18"/>
      <x:c r="U22" s="35"/>
      <x:c r="V22" s="35"/>
      <x:c r="W22" s="18"/>
      <x:c r="X22" s="22"/>
      <x:c r="Y22" s="22"/>
      <x:c r="Z22" s="18"/>
      <x:c r="AA22" s="35"/>
      <x:c r="AB22" s="22"/>
      <x:c r="AC22" s="18"/>
      <x:c r="AD22" s="18"/>
      <x:c r="AE22" s="22" t="n">
        <x:v>261397.44</x:v>
      </x:c>
      <x:c r="AF22" s="18" t="str">
        <x:v>aggregate_net_liquidation_proceeds</x:v>
      </x:c>
      <x:c r="AG22" s="22" t="n">
        <x:v>213431.92</x:v>
      </x:c>
      <x:c r="AH22" s="22" t="n">
        <x:v>47965.52</x:v>
      </x:c>
      <x:c r="AI22" s="18" t="str">
        <x:v>UNRESOLVED</x:v>
      </x:c>
      <x:c r="AJ22" s="18" t="str">
        <x:v>TIED</x:v>
      </x:c>
      <x:c r="AK22" s="18" t="str">
        <x:v>TIED</x:v>
      </x:c>
      <x:c r="AL22" s="18"/>
      <x:c r="AM22" s="18"/>
      <x:c r="AN22" s="18" t="str">
        <x:v>toyota-30-59-60-89-90-119-120-plus</x:v>
      </x:c>
      <x:c r="AO22" s="35"/>
      <x:c r="AP22" s="18"/>
      <x:c r="AQ22" s="18" t="str">
        <x:v>recovery_comparator_delta</x:v>
      </x:c>
      <x:c r="AR22" s="18" t="str">
        <x:v>UNRESOLVED</x:v>
      </x:c>
      <x:c r="AS22" s="18" t="str">
        <x:v>No</x:v>
      </x:c>
      <x:c r="AT22" s="18" t="str">
        <x:v>Residual retained; public certificate sources do not attribute this ABS-EE aggregate delta to a timing, population, correction, or classification component.</x:v>
      </x:c>
    </x:row>
    <x:row r="23" ht="32" customHeight="1">
      <x:c r="A23" s="18" t="str">
        <x:v>toyota-2022-b-recovery-v1</x:v>
      </x:c>
      <x:c r="B23" s="18" t="str">
        <x:v>TOYOTA-2022-B</x:v>
      </x:c>
      <x:c r="C23" s="18" t="str">
        <x:v>Toyota Auto Receivables</x:v>
      </x:c>
      <x:c r="D23" s="18" t="str">
        <x:v>2024-01</x:v>
      </x:c>
      <x:c r="E23" s="18" t="str">
        <x:v>2024-01-31</x:v>
      </x:c>
      <x:c r="F23" s="18" t="str">
        <x:v>2024-01-01</x:v>
      </x:c>
      <x:c r="G23" s="18" t="str">
        <x:v>2024-01-31</x:v>
      </x:c>
      <x:c r="H23" s="35" t="n">
        <x:v>31</x:v>
      </x:c>
      <x:c r="I23" s="18" t="str">
        <x:v>2024-02-27</x:v>
      </x:c>
      <x:c r="J23" s="18" t="str">
        <x:v>0000950131-24-000757</x:v>
      </x:c>
      <x:c r="K23" s="18" t="str">
        <x:v>https://www.sec.gov/Archives/edgar/data/1914281/000095013124000757/0000950131-24-000757-index.html</x:v>
      </x:c>
      <x:c r="L23" s="18" t="str">
        <x:v>0000950131-24-000754</x:v>
      </x:c>
      <x:c r="M23" s="18" t="str">
        <x:v>https://www.sec.gov/Archives/edgar/data/1914281/000095013124000754/d742075dex991.htm</x:v>
      </x:c>
      <x:c r="N23" s="22"/>
      <x:c r="O23" s="22"/>
      <x:c r="P23" s="22"/>
      <x:c r="Q23" s="18"/>
      <x:c r="R23" s="35"/>
      <x:c r="S23" s="35"/>
      <x:c r="T23" s="18"/>
      <x:c r="U23" s="35"/>
      <x:c r="V23" s="35"/>
      <x:c r="W23" s="18"/>
      <x:c r="X23" s="22"/>
      <x:c r="Y23" s="22"/>
      <x:c r="Z23" s="18"/>
      <x:c r="AA23" s="35"/>
      <x:c r="AB23" s="22"/>
      <x:c r="AC23" s="18"/>
      <x:c r="AD23" s="18"/>
      <x:c r="AE23" s="22" t="n">
        <x:v>232058.39</x:v>
      </x:c>
      <x:c r="AF23" s="18" t="str">
        <x:v>aggregate_net_liquidation_proceeds</x:v>
      </x:c>
      <x:c r="AG23" s="22" t="n">
        <x:v>176661.65</x:v>
      </x:c>
      <x:c r="AH23" s="22" t="n">
        <x:v>55396.74</x:v>
      </x:c>
      <x:c r="AI23" s="18" t="str">
        <x:v>UNRESOLVED</x:v>
      </x:c>
      <x:c r="AJ23" s="18" t="str">
        <x:v>TIED</x:v>
      </x:c>
      <x:c r="AK23" s="18" t="str">
        <x:v>TIED</x:v>
      </x:c>
      <x:c r="AL23" s="18"/>
      <x:c r="AM23" s="18"/>
      <x:c r="AN23" s="18" t="str">
        <x:v>toyota-30-59-60-89-90-119-120-plus</x:v>
      </x:c>
      <x:c r="AO23" s="35"/>
      <x:c r="AP23" s="18"/>
      <x:c r="AQ23" s="18" t="str">
        <x:v>recovery_comparator_delta</x:v>
      </x:c>
      <x:c r="AR23" s="18" t="str">
        <x:v>UNRESOLVED</x:v>
      </x:c>
      <x:c r="AS23" s="18" t="str">
        <x:v>No</x:v>
      </x:c>
      <x:c r="AT23" s="18" t="str">
        <x:v>Residual retained; public certificate sources do not attribute this ABS-EE aggregate delta to a timing, population, correction, or classification component.</x:v>
      </x:c>
    </x:row>
    <x:row r="24" ht="32" customHeight="1">
      <x:c r="A24" s="18" t="str">
        <x:v>toyota-2022-b-recovery-v1</x:v>
      </x:c>
      <x:c r="B24" s="18" t="str">
        <x:v>TOYOTA-2022-B</x:v>
      </x:c>
      <x:c r="C24" s="18" t="str">
        <x:v>Toyota Auto Receivables</x:v>
      </x:c>
      <x:c r="D24" s="18" t="str">
        <x:v>2024-02</x:v>
      </x:c>
      <x:c r="E24" s="18" t="str">
        <x:v>2024-02-29</x:v>
      </x:c>
      <x:c r="F24" s="18" t="str">
        <x:v>2024-02-01</x:v>
      </x:c>
      <x:c r="G24" s="18" t="str">
        <x:v>2024-02-29</x:v>
      </x:c>
      <x:c r="H24" s="35" t="n">
        <x:v>29</x:v>
      </x:c>
      <x:c r="I24" s="18" t="str">
        <x:v>2024-03-27</x:v>
      </x:c>
      <x:c r="J24" s="18" t="str">
        <x:v>0000950131-24-001184</x:v>
      </x:c>
      <x:c r="K24" s="18" t="str">
        <x:v>https://www.sec.gov/Archives/edgar/data/1914281/000095013124001184/0000950131-24-001184-index.html</x:v>
      </x:c>
      <x:c r="L24" s="18" t="str">
        <x:v>0000950131-24-001179</x:v>
      </x:c>
      <x:c r="M24" s="18" t="str">
        <x:v>https://www.sec.gov/Archives/edgar/data/1914281/000095013124001179/d609319dex991.htm</x:v>
      </x:c>
      <x:c r="N24" s="22"/>
      <x:c r="O24" s="22"/>
      <x:c r="P24" s="22"/>
      <x:c r="Q24" s="18"/>
      <x:c r="R24" s="35"/>
      <x:c r="S24" s="35"/>
      <x:c r="T24" s="18"/>
      <x:c r="U24" s="35"/>
      <x:c r="V24" s="35"/>
      <x:c r="W24" s="18"/>
      <x:c r="X24" s="22"/>
      <x:c r="Y24" s="22"/>
      <x:c r="Z24" s="18"/>
      <x:c r="AA24" s="35"/>
      <x:c r="AB24" s="22"/>
      <x:c r="AC24" s="18"/>
      <x:c r="AD24" s="18"/>
      <x:c r="AE24" s="22" t="n">
        <x:v>547554.85</x:v>
      </x:c>
      <x:c r="AF24" s="18" t="str">
        <x:v>aggregate_net_liquidation_proceeds</x:v>
      </x:c>
      <x:c r="AG24" s="22" t="n">
        <x:v>502044.25</x:v>
      </x:c>
      <x:c r="AH24" s="22" t="n">
        <x:v>45510.6</x:v>
      </x:c>
      <x:c r="AI24" s="18" t="str">
        <x:v>UNRESOLVED</x:v>
      </x:c>
      <x:c r="AJ24" s="18" t="str">
        <x:v>TIED</x:v>
      </x:c>
      <x:c r="AK24" s="18" t="str">
        <x:v>TIED</x:v>
      </x:c>
      <x:c r="AL24" s="18"/>
      <x:c r="AM24" s="18"/>
      <x:c r="AN24" s="18" t="str">
        <x:v>toyota-30-59-60-89-90-119-120-plus</x:v>
      </x:c>
      <x:c r="AO24" s="35"/>
      <x:c r="AP24" s="18"/>
      <x:c r="AQ24" s="18" t="str">
        <x:v>recovery_comparator_delta</x:v>
      </x:c>
      <x:c r="AR24" s="18" t="str">
        <x:v>UNRESOLVED</x:v>
      </x:c>
      <x:c r="AS24" s="18" t="str">
        <x:v>No</x:v>
      </x:c>
      <x:c r="AT24" s="18" t="str">
        <x:v>Residual retained; public certificate sources do not attribute this ABS-EE aggregate delta to a timing, population, correction, or classification component.</x:v>
      </x:c>
    </x:row>
    <x:row r="25" ht="32" customHeight="1">
      <x:c r="A25" s="18" t="str">
        <x:v>toyota-2022-b-recovery-v1</x:v>
      </x:c>
      <x:c r="B25" s="18" t="str">
        <x:v>TOYOTA-2022-B</x:v>
      </x:c>
      <x:c r="C25" s="18" t="str">
        <x:v>Toyota Auto Receivables</x:v>
      </x:c>
      <x:c r="D25" s="18" t="str">
        <x:v>2024-03</x:v>
      </x:c>
      <x:c r="E25" s="18" t="str">
        <x:v>2024-03-31</x:v>
      </x:c>
      <x:c r="F25" s="18" t="str">
        <x:v>2024-03-01</x:v>
      </x:c>
      <x:c r="G25" s="18" t="str">
        <x:v>2024-03-31</x:v>
      </x:c>
      <x:c r="H25" s="35" t="n">
        <x:v>31</x:v>
      </x:c>
      <x:c r="I25" s="18" t="str">
        <x:v>2024-04-25</x:v>
      </x:c>
      <x:c r="J25" s="18" t="str">
        <x:v>0000950131-24-001639</x:v>
      </x:c>
      <x:c r="K25" s="18" t="str">
        <x:v>https://www.sec.gov/Archives/edgar/data/1914281/000095013124001639/0000950131-24-001639-index.html</x:v>
      </x:c>
      <x:c r="L25" s="18" t="str">
        <x:v>0000950131-24-001635</x:v>
      </x:c>
      <x:c r="M25" s="18" t="str">
        <x:v>https://www.sec.gov/Archives/edgar/data/1914281/000095013124001635/d785615dex991.htm</x:v>
      </x:c>
      <x:c r="N25" s="22"/>
      <x:c r="O25" s="22"/>
      <x:c r="P25" s="22"/>
      <x:c r="Q25" s="18"/>
      <x:c r="R25" s="35"/>
      <x:c r="S25" s="35"/>
      <x:c r="T25" s="18"/>
      <x:c r="U25" s="35"/>
      <x:c r="V25" s="35"/>
      <x:c r="W25" s="18"/>
      <x:c r="X25" s="22"/>
      <x:c r="Y25" s="22"/>
      <x:c r="Z25" s="18"/>
      <x:c r="AA25" s="35"/>
      <x:c r="AB25" s="22"/>
      <x:c r="AC25" s="18"/>
      <x:c r="AD25" s="18"/>
      <x:c r="AE25" s="22" t="n">
        <x:v>470445.75</x:v>
      </x:c>
      <x:c r="AF25" s="18" t="str">
        <x:v>aggregate_net_liquidation_proceeds</x:v>
      </x:c>
      <x:c r="AG25" s="22" t="n">
        <x:v>416775.55</x:v>
      </x:c>
      <x:c r="AH25" s="22" t="n">
        <x:v>53670.2</x:v>
      </x:c>
      <x:c r="AI25" s="18" t="str">
        <x:v>UNRESOLVED</x:v>
      </x:c>
      <x:c r="AJ25" s="18" t="str">
        <x:v>TIED</x:v>
      </x:c>
      <x:c r="AK25" s="18" t="str">
        <x:v>TIED</x:v>
      </x:c>
      <x:c r="AL25" s="18"/>
      <x:c r="AM25" s="18"/>
      <x:c r="AN25" s="18" t="str">
        <x:v>toyota-30-59-60-89-90-119-120-plus</x:v>
      </x:c>
      <x:c r="AO25" s="35"/>
      <x:c r="AP25" s="18"/>
      <x:c r="AQ25" s="18" t="str">
        <x:v>recovery_comparator_delta</x:v>
      </x:c>
      <x:c r="AR25" s="18" t="str">
        <x:v>UNRESOLVED</x:v>
      </x:c>
      <x:c r="AS25" s="18" t="str">
        <x:v>No</x:v>
      </x:c>
      <x:c r="AT25" s="18" t="str">
        <x:v>Residual retained; public certificate sources do not attribute this ABS-EE aggregate delta to a timing, population, correction, or classification component.</x:v>
      </x:c>
    </x:row>
    <x:row r="26" ht="32" customHeight="1">
      <x:c r="A26" s="18" t="str">
        <x:v>toyota-2022-b-recovery-v1</x:v>
      </x:c>
      <x:c r="B26" s="18" t="str">
        <x:v>TOYOTA-2022-B</x:v>
      </x:c>
      <x:c r="C26" s="18" t="str">
        <x:v>Toyota Auto Receivables</x:v>
      </x:c>
      <x:c r="D26" s="18" t="str">
        <x:v>2024-04</x:v>
      </x:c>
      <x:c r="E26" s="18" t="str">
        <x:v>2024-04-30</x:v>
      </x:c>
      <x:c r="F26" s="18" t="str">
        <x:v>2024-04-01</x:v>
      </x:c>
      <x:c r="G26" s="18" t="str">
        <x:v>2024-04-30</x:v>
      </x:c>
      <x:c r="H26" s="35" t="n">
        <x:v>30</x:v>
      </x:c>
      <x:c r="I26" s="18" t="str">
        <x:v>2024-05-29</x:v>
      </x:c>
      <x:c r="J26" s="18" t="str">
        <x:v>0000950131-24-002179</x:v>
      </x:c>
      <x:c r="K26" s="18" t="str">
        <x:v>https://www.sec.gov/Archives/edgar/data/1914281/000095013124002179/0000950131-24-002179-index.html</x:v>
      </x:c>
      <x:c r="L26" s="18" t="str">
        <x:v>0000950131-24-002174</x:v>
      </x:c>
      <x:c r="M26" s="18" t="str">
        <x:v>https://www.sec.gov/Archives/edgar/data/1914281/000095013124002174/d803299dex991.htm</x:v>
      </x:c>
      <x:c r="N26" s="22"/>
      <x:c r="O26" s="22"/>
      <x:c r="P26" s="22"/>
      <x:c r="Q26" s="18"/>
      <x:c r="R26" s="35"/>
      <x:c r="S26" s="35"/>
      <x:c r="T26" s="18"/>
      <x:c r="U26" s="35"/>
      <x:c r="V26" s="35"/>
      <x:c r="W26" s="18"/>
      <x:c r="X26" s="22"/>
      <x:c r="Y26" s="22"/>
      <x:c r="Z26" s="18"/>
      <x:c r="AA26" s="35"/>
      <x:c r="AB26" s="22"/>
      <x:c r="AC26" s="18"/>
      <x:c r="AD26" s="18"/>
      <x:c r="AE26" s="22" t="n">
        <x:v>394251.66</x:v>
      </x:c>
      <x:c r="AF26" s="18" t="str">
        <x:v>aggregate_net_liquidation_proceeds</x:v>
      </x:c>
      <x:c r="AG26" s="22" t="n">
        <x:v>348476.5</x:v>
      </x:c>
      <x:c r="AH26" s="22" t="n">
        <x:v>45775.16</x:v>
      </x:c>
      <x:c r="AI26" s="18" t="str">
        <x:v>UNRESOLVED</x:v>
      </x:c>
      <x:c r="AJ26" s="18" t="str">
        <x:v>TIED</x:v>
      </x:c>
      <x:c r="AK26" s="18" t="str">
        <x:v>TIED</x:v>
      </x:c>
      <x:c r="AL26" s="18"/>
      <x:c r="AM26" s="18"/>
      <x:c r="AN26" s="18" t="str">
        <x:v>toyota-30-59-60-89-90-119-120-plus</x:v>
      </x:c>
      <x:c r="AO26" s="35"/>
      <x:c r="AP26" s="18"/>
      <x:c r="AQ26" s="18" t="str">
        <x:v>recovery_comparator_delta</x:v>
      </x:c>
      <x:c r="AR26" s="18" t="str">
        <x:v>UNRESOLVED</x:v>
      </x:c>
      <x:c r="AS26" s="18" t="str">
        <x:v>No</x:v>
      </x:c>
      <x:c r="AT26" s="18" t="str">
        <x:v>Residual retained; public certificate sources do not attribute this ABS-EE aggregate delta to a timing, population, correction, or classification component.</x:v>
      </x:c>
    </x:row>
    <x:row r="27" ht="32" customHeight="1">
      <x:c r="A27" s="18" t="str">
        <x:v>toyota-2022-b-recovery-v1</x:v>
      </x:c>
      <x:c r="B27" s="18" t="str">
        <x:v>TOYOTA-2022-B</x:v>
      </x:c>
      <x:c r="C27" s="18" t="str">
        <x:v>Toyota Auto Receivables</x:v>
      </x:c>
      <x:c r="D27" s="18" t="str">
        <x:v>2024-05</x:v>
      </x:c>
      <x:c r="E27" s="18" t="str">
        <x:v>2024-05-31</x:v>
      </x:c>
      <x:c r="F27" s="18" t="str">
        <x:v>2024-05-01</x:v>
      </x:c>
      <x:c r="G27" s="18" t="str">
        <x:v>2024-05-31</x:v>
      </x:c>
      <x:c r="H27" s="35" t="n">
        <x:v>31</x:v>
      </x:c>
      <x:c r="I27" s="18" t="str">
        <x:v>2024-06-26</x:v>
      </x:c>
      <x:c r="J27" s="18" t="str">
        <x:v>0000950131-24-002696</x:v>
      </x:c>
      <x:c r="K27" s="18" t="str">
        <x:v>https://www.sec.gov/Archives/edgar/data/1914281/000095013124002696/0000950131-24-002696-index.html</x:v>
      </x:c>
      <x:c r="L27" s="18" t="str">
        <x:v>0000950131-24-002692</x:v>
      </x:c>
      <x:c r="M27" s="18" t="str">
        <x:v>https://www.sec.gov/Archives/edgar/data/1914281/000095013124002692/d837478dex991.htm</x:v>
      </x:c>
      <x:c r="N27" s="22"/>
      <x:c r="O27" s="22"/>
      <x:c r="P27" s="22"/>
      <x:c r="Q27" s="18"/>
      <x:c r="R27" s="35"/>
      <x:c r="S27" s="35"/>
      <x:c r="T27" s="18"/>
      <x:c r="U27" s="35"/>
      <x:c r="V27" s="35"/>
      <x:c r="W27" s="18"/>
      <x:c r="X27" s="22"/>
      <x:c r="Y27" s="22"/>
      <x:c r="Z27" s="18"/>
      <x:c r="AA27" s="35"/>
      <x:c r="AB27" s="22"/>
      <x:c r="AC27" s="18"/>
      <x:c r="AD27" s="18"/>
      <x:c r="AE27" s="22" t="n">
        <x:v>424652.87</x:v>
      </x:c>
      <x:c r="AF27" s="18" t="str">
        <x:v>aggregate_net_liquidation_proceeds</x:v>
      </x:c>
      <x:c r="AG27" s="22" t="n">
        <x:v>385780.15</x:v>
      </x:c>
      <x:c r="AH27" s="22" t="n">
        <x:v>38872.72</x:v>
      </x:c>
      <x:c r="AI27" s="18" t="str">
        <x:v>UNRESOLVED</x:v>
      </x:c>
      <x:c r="AJ27" s="18" t="str">
        <x:v>TIED</x:v>
      </x:c>
      <x:c r="AK27" s="18" t="str">
        <x:v>TIED</x:v>
      </x:c>
      <x:c r="AL27" s="18"/>
      <x:c r="AM27" s="18"/>
      <x:c r="AN27" s="18" t="str">
        <x:v>toyota-30-59-60-89-90-119-120-plus</x:v>
      </x:c>
      <x:c r="AO27" s="35"/>
      <x:c r="AP27" s="18"/>
      <x:c r="AQ27" s="18" t="str">
        <x:v>recovery_comparator_delta</x:v>
      </x:c>
      <x:c r="AR27" s="18" t="str">
        <x:v>UNRESOLVED</x:v>
      </x:c>
      <x:c r="AS27" s="18" t="str">
        <x:v>No</x:v>
      </x:c>
      <x:c r="AT27" s="18" t="str">
        <x:v>Residual retained; public certificate sources do not attribute this ABS-EE aggregate delta to a timing, population, correction, or classification component.</x:v>
      </x:c>
    </x:row>
    <x:row r="28" ht="32" customHeight="1">
      <x:c r="A28" s="18" t="str">
        <x:v>toyota-2022-b-recovery-v1</x:v>
      </x:c>
      <x:c r="B28" s="18" t="str">
        <x:v>TOYOTA-2022-B</x:v>
      </x:c>
      <x:c r="C28" s="18" t="str">
        <x:v>Toyota Auto Receivables</x:v>
      </x:c>
      <x:c r="D28" s="18" t="str">
        <x:v>2024-06</x:v>
      </x:c>
      <x:c r="E28" s="18" t="str">
        <x:v>2024-06-30</x:v>
      </x:c>
      <x:c r="F28" s="18" t="str">
        <x:v>2024-06-01</x:v>
      </x:c>
      <x:c r="G28" s="18" t="str">
        <x:v>2024-06-30</x:v>
      </x:c>
      <x:c r="H28" s="35" t="n">
        <x:v>30</x:v>
      </x:c>
      <x:c r="I28" s="18" t="str">
        <x:v>2024-07-29</x:v>
      </x:c>
      <x:c r="J28" s="18" t="str">
        <x:v>0000950131-24-003106</x:v>
      </x:c>
      <x:c r="K28" s="18" t="str">
        <x:v>https://www.sec.gov/Archives/edgar/data/1914281/000095013124003106/0000950131-24-003106-index.html</x:v>
      </x:c>
      <x:c r="L28" s="18" t="str">
        <x:v>0000950131-24-003102</x:v>
      </x:c>
      <x:c r="M28" s="18" t="str">
        <x:v>https://www.sec.gov/Archives/edgar/data/1914281/000095013124003102/d855685dex991.htm</x:v>
      </x:c>
      <x:c r="N28" s="22"/>
      <x:c r="O28" s="22"/>
      <x:c r="P28" s="22"/>
      <x:c r="Q28" s="18"/>
      <x:c r="R28" s="35"/>
      <x:c r="S28" s="35"/>
      <x:c r="T28" s="18"/>
      <x:c r="U28" s="35"/>
      <x:c r="V28" s="35"/>
      <x:c r="W28" s="18"/>
      <x:c r="X28" s="22"/>
      <x:c r="Y28" s="22"/>
      <x:c r="Z28" s="18"/>
      <x:c r="AA28" s="35"/>
      <x:c r="AB28" s="22"/>
      <x:c r="AC28" s="18"/>
      <x:c r="AD28" s="18"/>
      <x:c r="AE28" s="22" t="n">
        <x:v>406112.44</x:v>
      </x:c>
      <x:c r="AF28" s="18" t="str">
        <x:v>aggregate_net_liquidation_proceeds</x:v>
      </x:c>
      <x:c r="AG28" s="22" t="n">
        <x:v>345519.32</x:v>
      </x:c>
      <x:c r="AH28" s="22" t="n">
        <x:v>60593.12</x:v>
      </x:c>
      <x:c r="AI28" s="18" t="str">
        <x:v>UNRESOLVED</x:v>
      </x:c>
      <x:c r="AJ28" s="18" t="str">
        <x:v>TIED</x:v>
      </x:c>
      <x:c r="AK28" s="18" t="str">
        <x:v>TIED</x:v>
      </x:c>
      <x:c r="AL28" s="18"/>
      <x:c r="AM28" s="18"/>
      <x:c r="AN28" s="18" t="str">
        <x:v>toyota-30-59-60-89-90-119-120-plus</x:v>
      </x:c>
      <x:c r="AO28" s="35"/>
      <x:c r="AP28" s="18"/>
      <x:c r="AQ28" s="18" t="str">
        <x:v>recovery_comparator_delta</x:v>
      </x:c>
      <x:c r="AR28" s="18" t="str">
        <x:v>UNRESOLVED</x:v>
      </x:c>
      <x:c r="AS28" s="18" t="str">
        <x:v>No</x:v>
      </x:c>
      <x:c r="AT28" s="18" t="str">
        <x:v>Residual retained; public certificate sources do not attribute this ABS-EE aggregate delta to a timing, population, correction, or classification component.</x:v>
      </x:c>
    </x:row>
    <x:row r="29" ht="32" customHeight="1">
      <x:c r="A29" s="18" t="str">
        <x:v>toyota-2022-b-recovery-v1</x:v>
      </x:c>
      <x:c r="B29" s="18" t="str">
        <x:v>TOYOTA-2022-B</x:v>
      </x:c>
      <x:c r="C29" s="18" t="str">
        <x:v>Toyota Auto Receivables</x:v>
      </x:c>
      <x:c r="D29" s="18" t="str">
        <x:v>2024-07</x:v>
      </x:c>
      <x:c r="E29" s="18" t="str">
        <x:v>2024-07-31</x:v>
      </x:c>
      <x:c r="F29" s="18" t="str">
        <x:v>2024-07-01</x:v>
      </x:c>
      <x:c r="G29" s="18" t="str">
        <x:v>2024-07-31</x:v>
      </x:c>
      <x:c r="H29" s="35" t="n">
        <x:v>31</x:v>
      </x:c>
      <x:c r="I29" s="18" t="str">
        <x:v>2024-08-28</x:v>
      </x:c>
      <x:c r="J29" s="18" t="str">
        <x:v>0000950131-24-003554</x:v>
      </x:c>
      <x:c r="K29" s="18" t="str">
        <x:v>https://www.sec.gov/Archives/edgar/data/1914281/000095013124003554/0000950131-24-003554-index.html</x:v>
      </x:c>
      <x:c r="L29" s="18" t="str">
        <x:v>0000950131-24-003550</x:v>
      </x:c>
      <x:c r="M29" s="18" t="str">
        <x:v>https://www.sec.gov/Archives/edgar/data/1914281/000095013124003550/d876720dex991.htm</x:v>
      </x:c>
      <x:c r="N29" s="22"/>
      <x:c r="O29" s="22"/>
      <x:c r="P29" s="22"/>
      <x:c r="Q29" s="18"/>
      <x:c r="R29" s="35"/>
      <x:c r="S29" s="35"/>
      <x:c r="T29" s="18"/>
      <x:c r="U29" s="35"/>
      <x:c r="V29" s="35"/>
      <x:c r="W29" s="18"/>
      <x:c r="X29" s="22"/>
      <x:c r="Y29" s="22"/>
      <x:c r="Z29" s="18"/>
      <x:c r="AA29" s="35"/>
      <x:c r="AB29" s="22"/>
      <x:c r="AC29" s="18"/>
      <x:c r="AD29" s="18"/>
      <x:c r="AE29" s="22" t="n">
        <x:v>395886.07</x:v>
      </x:c>
      <x:c r="AF29" s="18" t="str">
        <x:v>aggregate_net_liquidation_proceeds</x:v>
      </x:c>
      <x:c r="AG29" s="22" t="n">
        <x:v>355110.95</x:v>
      </x:c>
      <x:c r="AH29" s="22" t="n">
        <x:v>40775.12</x:v>
      </x:c>
      <x:c r="AI29" s="18" t="str">
        <x:v>UNRESOLVED</x:v>
      </x:c>
      <x:c r="AJ29" s="18" t="str">
        <x:v>TIED</x:v>
      </x:c>
      <x:c r="AK29" s="18" t="str">
        <x:v>TIED</x:v>
      </x:c>
      <x:c r="AL29" s="18"/>
      <x:c r="AM29" s="18"/>
      <x:c r="AN29" s="18" t="str">
        <x:v>toyota-30-59-60-89-90-119-120-plus</x:v>
      </x:c>
      <x:c r="AO29" s="35"/>
      <x:c r="AP29" s="18"/>
      <x:c r="AQ29" s="18" t="str">
        <x:v>recovery_comparator_delta</x:v>
      </x:c>
      <x:c r="AR29" s="18" t="str">
        <x:v>UNRESOLVED</x:v>
      </x:c>
      <x:c r="AS29" s="18" t="str">
        <x:v>No</x:v>
      </x:c>
      <x:c r="AT29" s="18" t="str">
        <x:v>Residual retained; public certificate sources do not attribute this ABS-EE aggregate delta to a timing, population, correction, or classification component.</x:v>
      </x:c>
    </x:row>
    <x:row r="30" ht="32" customHeight="1">
      <x:c r="A30" s="18" t="str">
        <x:v>toyota-2022-b-recovery-v1</x:v>
      </x:c>
      <x:c r="B30" s="18" t="str">
        <x:v>TOYOTA-2022-B</x:v>
      </x:c>
      <x:c r="C30" s="18" t="str">
        <x:v>Toyota Auto Receivables</x:v>
      </x:c>
      <x:c r="D30" s="18" t="str">
        <x:v>2024-08</x:v>
      </x:c>
      <x:c r="E30" s="18" t="str">
        <x:v>2024-08-31</x:v>
      </x:c>
      <x:c r="F30" s="18" t="str">
        <x:v>2024-08-01</x:v>
      </x:c>
      <x:c r="G30" s="18" t="str">
        <x:v>2024-08-31</x:v>
      </x:c>
      <x:c r="H30" s="35" t="n">
        <x:v>31</x:v>
      </x:c>
      <x:c r="I30" s="18" t="str">
        <x:v>2024-09-26</x:v>
      </x:c>
      <x:c r="J30" s="18" t="str">
        <x:v>0000950131-24-003939</x:v>
      </x:c>
      <x:c r="K30" s="18" t="str">
        <x:v>https://www.sec.gov/Archives/edgar/data/1914281/000095013124003939/0000950131-24-003939-index.html</x:v>
      </x:c>
      <x:c r="L30" s="18" t="str">
        <x:v>0000950131-24-003935</x:v>
      </x:c>
      <x:c r="M30" s="18" t="str">
        <x:v>https://www.sec.gov/Archives/edgar/data/1914281/000095013124003935/d852513dex991.htm</x:v>
      </x:c>
      <x:c r="N30" s="22"/>
      <x:c r="O30" s="22"/>
      <x:c r="P30" s="22"/>
      <x:c r="Q30" s="18"/>
      <x:c r="R30" s="35"/>
      <x:c r="S30" s="35"/>
      <x:c r="T30" s="18"/>
      <x:c r="U30" s="35"/>
      <x:c r="V30" s="35"/>
      <x:c r="W30" s="18"/>
      <x:c r="X30" s="22"/>
      <x:c r="Y30" s="22"/>
      <x:c r="Z30" s="18"/>
      <x:c r="AA30" s="35"/>
      <x:c r="AB30" s="22"/>
      <x:c r="AC30" s="18"/>
      <x:c r="AD30" s="18"/>
      <x:c r="AE30" s="22" t="n">
        <x:v>444924.46</x:v>
      </x:c>
      <x:c r="AF30" s="18" t="str">
        <x:v>aggregate_net_liquidation_proceeds</x:v>
      </x:c>
      <x:c r="AG30" s="22" t="n">
        <x:v>342914.96</x:v>
      </x:c>
      <x:c r="AH30" s="22" t="n">
        <x:v>102009.5</x:v>
      </x:c>
      <x:c r="AI30" s="18" t="str">
        <x:v>UNRESOLVED</x:v>
      </x:c>
      <x:c r="AJ30" s="18" t="str">
        <x:v>TIED</x:v>
      </x:c>
      <x:c r="AK30" s="18" t="str">
        <x:v>TIED</x:v>
      </x:c>
      <x:c r="AL30" s="18"/>
      <x:c r="AM30" s="18"/>
      <x:c r="AN30" s="18" t="str">
        <x:v>toyota-30-59-60-89-90-119-120-plus</x:v>
      </x:c>
      <x:c r="AO30" s="35"/>
      <x:c r="AP30" s="18"/>
      <x:c r="AQ30" s="18" t="str">
        <x:v>recovery_comparator_delta</x:v>
      </x:c>
      <x:c r="AR30" s="18" t="str">
        <x:v>UNRESOLVED</x:v>
      </x:c>
      <x:c r="AS30" s="18" t="str">
        <x:v>No</x:v>
      </x:c>
      <x:c r="AT30" s="18" t="str">
        <x:v>Residual retained; public certificate sources do not attribute this ABS-EE aggregate delta to a timing, population, correction, or classification component.</x:v>
      </x:c>
    </x:row>
    <x:row r="31" ht="32" customHeight="1">
      <x:c r="A31" s="18" t="str">
        <x:v>toyota-2022-b-recovery-v1</x:v>
      </x:c>
      <x:c r="B31" s="18" t="str">
        <x:v>TOYOTA-2022-B</x:v>
      </x:c>
      <x:c r="C31" s="18" t="str">
        <x:v>Toyota Auto Receivables</x:v>
      </x:c>
      <x:c r="D31" s="18" t="str">
        <x:v>2024-09</x:v>
      </x:c>
      <x:c r="E31" s="18" t="str">
        <x:v>2024-09-30</x:v>
      </x:c>
      <x:c r="F31" s="18" t="str">
        <x:v>2024-09-01</x:v>
      </x:c>
      <x:c r="G31" s="18" t="str">
        <x:v>2024-09-30</x:v>
      </x:c>
      <x:c r="H31" s="35" t="n">
        <x:v>30</x:v>
      </x:c>
      <x:c r="I31" s="18" t="str">
        <x:v>2024-10-29</x:v>
      </x:c>
      <x:c r="J31" s="18" t="str">
        <x:v>0000950131-24-004367</x:v>
      </x:c>
      <x:c r="K31" s="18" t="str">
        <x:v>https://www.sec.gov/Archives/edgar/data/1914281/000095013124004367/0000950131-24-004367-index.html</x:v>
      </x:c>
      <x:c r="L31" s="18" t="str">
        <x:v>0000950131-24-004361</x:v>
      </x:c>
      <x:c r="M31" s="18" t="str">
        <x:v>https://www.sec.gov/Archives/edgar/data/1914281/000095013124004361/d847499dex991.htm</x:v>
      </x:c>
      <x:c r="N31" s="22"/>
      <x:c r="O31" s="22"/>
      <x:c r="P31" s="22"/>
      <x:c r="Q31" s="18"/>
      <x:c r="R31" s="35"/>
      <x:c r="S31" s="35"/>
      <x:c r="T31" s="18"/>
      <x:c r="U31" s="35"/>
      <x:c r="V31" s="35"/>
      <x:c r="W31" s="18"/>
      <x:c r="X31" s="22"/>
      <x:c r="Y31" s="22"/>
      <x:c r="Z31" s="18"/>
      <x:c r="AA31" s="35"/>
      <x:c r="AB31" s="22"/>
      <x:c r="AC31" s="18"/>
      <x:c r="AD31" s="18"/>
      <x:c r="AE31" s="22" t="n">
        <x:v>339016.15</x:v>
      </x:c>
      <x:c r="AF31" s="18" t="str">
        <x:v>aggregate_net_liquidation_proceeds</x:v>
      </x:c>
      <x:c r="AG31" s="22" t="n">
        <x:v>287660.53</x:v>
      </x:c>
      <x:c r="AH31" s="22" t="n">
        <x:v>51355.62</x:v>
      </x:c>
      <x:c r="AI31" s="18" t="str">
        <x:v>UNRESOLVED</x:v>
      </x:c>
      <x:c r="AJ31" s="18" t="str">
        <x:v>TIED</x:v>
      </x:c>
      <x:c r="AK31" s="18" t="str">
        <x:v>TIED</x:v>
      </x:c>
      <x:c r="AL31" s="18"/>
      <x:c r="AM31" s="18"/>
      <x:c r="AN31" s="18" t="str">
        <x:v>toyota-30-59-60-89-90-119-120-plus</x:v>
      </x:c>
      <x:c r="AO31" s="35"/>
      <x:c r="AP31" s="18"/>
      <x:c r="AQ31" s="18" t="str">
        <x:v>recovery_comparator_delta</x:v>
      </x:c>
      <x:c r="AR31" s="18" t="str">
        <x:v>UNRESOLVED</x:v>
      </x:c>
      <x:c r="AS31" s="18" t="str">
        <x:v>No</x:v>
      </x:c>
      <x:c r="AT31" s="18" t="str">
        <x:v>Residual retained; public certificate sources do not attribute this ABS-EE aggregate delta to a timing, population, correction, or classification component.</x:v>
      </x:c>
    </x:row>
    <x:row r="32" ht="32" customHeight="1">
      <x:c r="A32" s="18" t="str">
        <x:v>toyota-2022-b-recovery-v1</x:v>
      </x:c>
      <x:c r="B32" s="18" t="str">
        <x:v>TOYOTA-2022-B</x:v>
      </x:c>
      <x:c r="C32" s="18" t="str">
        <x:v>Toyota Auto Receivables</x:v>
      </x:c>
      <x:c r="D32" s="18" t="str">
        <x:v>2024-10</x:v>
      </x:c>
      <x:c r="E32" s="18" t="str">
        <x:v>2024-10-31</x:v>
      </x:c>
      <x:c r="F32" s="18" t="str">
        <x:v>2024-10-01</x:v>
      </x:c>
      <x:c r="G32" s="18" t="str">
        <x:v>2024-10-31</x:v>
      </x:c>
      <x:c r="H32" s="35" t="n">
        <x:v>31</x:v>
      </x:c>
      <x:c r="I32" s="18" t="str">
        <x:v>2024-11-26</x:v>
      </x:c>
      <x:c r="J32" s="18" t="str">
        <x:v>0000950131-24-004766</x:v>
      </x:c>
      <x:c r="K32" s="18" t="str">
        <x:v>https://www.sec.gov/Archives/edgar/data/1914281/000095013124004766/0000950131-24-004766-index.html</x:v>
      </x:c>
      <x:c r="L32" s="18" t="str">
        <x:v>0000950131-24-004762</x:v>
      </x:c>
      <x:c r="M32" s="18" t="str">
        <x:v>https://www.sec.gov/Archives/edgar/data/1914281/000095013124004762/d801365dex991.htm</x:v>
      </x:c>
      <x:c r="N32" s="22"/>
      <x:c r="O32" s="22"/>
      <x:c r="P32" s="22"/>
      <x:c r="Q32" s="18"/>
      <x:c r="R32" s="35"/>
      <x:c r="S32" s="35"/>
      <x:c r="T32" s="18"/>
      <x:c r="U32" s="35"/>
      <x:c r="V32" s="35"/>
      <x:c r="W32" s="18"/>
      <x:c r="X32" s="22"/>
      <x:c r="Y32" s="22"/>
      <x:c r="Z32" s="18"/>
      <x:c r="AA32" s="35"/>
      <x:c r="AB32" s="22"/>
      <x:c r="AC32" s="18"/>
      <x:c r="AD32" s="18"/>
      <x:c r="AE32" s="22" t="n">
        <x:v>448154.53</x:v>
      </x:c>
      <x:c r="AF32" s="18" t="str">
        <x:v>aggregate_net_liquidation_proceeds</x:v>
      </x:c>
      <x:c r="AG32" s="22" t="n">
        <x:v>387909.83</x:v>
      </x:c>
      <x:c r="AH32" s="22" t="n">
        <x:v>60244.7</x:v>
      </x:c>
      <x:c r="AI32" s="18" t="str">
        <x:v>UNRESOLVED</x:v>
      </x:c>
      <x:c r="AJ32" s="18" t="str">
        <x:v>TIED</x:v>
      </x:c>
      <x:c r="AK32" s="18" t="str">
        <x:v>TIED</x:v>
      </x:c>
      <x:c r="AL32" s="18"/>
      <x:c r="AM32" s="18"/>
      <x:c r="AN32" s="18" t="str">
        <x:v>toyota-30-59-60-89-90-119-120-plus</x:v>
      </x:c>
      <x:c r="AO32" s="35"/>
      <x:c r="AP32" s="18"/>
      <x:c r="AQ32" s="18" t="str">
        <x:v>recovery_comparator_delta</x:v>
      </x:c>
      <x:c r="AR32" s="18" t="str">
        <x:v>UNRESOLVED</x:v>
      </x:c>
      <x:c r="AS32" s="18" t="str">
        <x:v>No</x:v>
      </x:c>
      <x:c r="AT32" s="18" t="str">
        <x:v>Residual retained; public certificate sources do not attribute this ABS-EE aggregate delta to a timing, population, correction, or classification component.</x:v>
      </x:c>
    </x:row>
    <x:row r="33" ht="32" customHeight="1">
      <x:c r="A33" s="18" t="str">
        <x:v>toyota-2022-b-recovery-v1</x:v>
      </x:c>
      <x:c r="B33" s="18" t="str">
        <x:v>TOYOTA-2022-B</x:v>
      </x:c>
      <x:c r="C33" s="18" t="str">
        <x:v>Toyota Auto Receivables</x:v>
      </x:c>
      <x:c r="D33" s="18" t="str">
        <x:v>2024-11</x:v>
      </x:c>
      <x:c r="E33" s="18" t="str">
        <x:v>2024-11-30</x:v>
      </x:c>
      <x:c r="F33" s="18" t="str">
        <x:v>2024-11-01</x:v>
      </x:c>
      <x:c r="G33" s="18" t="str">
        <x:v>2024-11-30</x:v>
      </x:c>
      <x:c r="H33" s="35" t="n">
        <x:v>30</x:v>
      </x:c>
      <x:c r="I33" s="18" t="str">
        <x:v>2024-12-20</x:v>
      </x:c>
      <x:c r="J33" s="18" t="str">
        <x:v>0000950131-24-005139</x:v>
      </x:c>
      <x:c r="K33" s="18" t="str">
        <x:v>https://www.sec.gov/Archives/edgar/data/1914281/000095013124005139/0000950131-24-005139-index.html</x:v>
      </x:c>
      <x:c r="L33" s="18" t="str">
        <x:v>0000950131-24-005135</x:v>
      </x:c>
      <x:c r="M33" s="18" t="str">
        <x:v>https://www.sec.gov/Archives/edgar/data/1914281/000095013124005135/d869862dex991.htm</x:v>
      </x:c>
      <x:c r="N33" s="22"/>
      <x:c r="O33" s="22"/>
      <x:c r="P33" s="22"/>
      <x:c r="Q33" s="18"/>
      <x:c r="R33" s="35"/>
      <x:c r="S33" s="35"/>
      <x:c r="T33" s="18"/>
      <x:c r="U33" s="35"/>
      <x:c r="V33" s="35"/>
      <x:c r="W33" s="18"/>
      <x:c r="X33" s="22"/>
      <x:c r="Y33" s="22"/>
      <x:c r="Z33" s="18"/>
      <x:c r="AA33" s="35"/>
      <x:c r="AB33" s="22"/>
      <x:c r="AC33" s="18"/>
      <x:c r="AD33" s="18"/>
      <x:c r="AE33" s="22" t="n">
        <x:v>427243.58</x:v>
      </x:c>
      <x:c r="AF33" s="18" t="str">
        <x:v>aggregate_net_liquidation_proceeds</x:v>
      </x:c>
      <x:c r="AG33" s="22" t="n">
        <x:v>303591.94</x:v>
      </x:c>
      <x:c r="AH33" s="22" t="n">
        <x:v>123651.64</x:v>
      </x:c>
      <x:c r="AI33" s="18" t="str">
        <x:v>UNRESOLVED</x:v>
      </x:c>
      <x:c r="AJ33" s="18" t="str">
        <x:v>TIED</x:v>
      </x:c>
      <x:c r="AK33" s="18" t="str">
        <x:v>TIED</x:v>
      </x:c>
      <x:c r="AL33" s="18"/>
      <x:c r="AM33" s="18"/>
      <x:c r="AN33" s="18" t="str">
        <x:v>toyota-30-59-60-89-90-119-120-plus</x:v>
      </x:c>
      <x:c r="AO33" s="35"/>
      <x:c r="AP33" s="18"/>
      <x:c r="AQ33" s="18" t="str">
        <x:v>recovery_comparator_delta</x:v>
      </x:c>
      <x:c r="AR33" s="18" t="str">
        <x:v>UNRESOLVED</x:v>
      </x:c>
      <x:c r="AS33" s="18" t="str">
        <x:v>No</x:v>
      </x:c>
      <x:c r="AT33" s="18" t="str">
        <x:v>Residual retained; public certificate sources do not attribute this ABS-EE aggregate delta to a timing, population, correction, or classification component.</x:v>
      </x:c>
    </x:row>
    <x:row r="34" ht="32" customHeight="1">
      <x:c r="A34" s="18" t="str">
        <x:v>toyota-2022-b-recovery-v1</x:v>
      </x:c>
      <x:c r="B34" s="18" t="str">
        <x:v>TOYOTA-2022-B</x:v>
      </x:c>
      <x:c r="C34" s="18" t="str">
        <x:v>Toyota Auto Receivables</x:v>
      </x:c>
      <x:c r="D34" s="18" t="str">
        <x:v>2024-12</x:v>
      </x:c>
      <x:c r="E34" s="18" t="str">
        <x:v>2024-12-31</x:v>
      </x:c>
      <x:c r="F34" s="18" t="str">
        <x:v>2024-12-01</x:v>
      </x:c>
      <x:c r="G34" s="18" t="str">
        <x:v>2024-12-31</x:v>
      </x:c>
      <x:c r="H34" s="35" t="n">
        <x:v>31</x:v>
      </x:c>
      <x:c r="I34" s="18" t="str">
        <x:v>2025-01-29</x:v>
      </x:c>
      <x:c r="J34" s="18" t="str">
        <x:v>0000950131-25-000447</x:v>
      </x:c>
      <x:c r="K34" s="18" t="str">
        <x:v>https://www.sec.gov/Archives/edgar/data/1914281/000095013125000447/0000950131-25-000447-index.html</x:v>
      </x:c>
      <x:c r="L34" s="18" t="str">
        <x:v>0000950131-25-000443</x:v>
      </x:c>
      <x:c r="M34" s="18" t="str">
        <x:v>https://www.sec.gov/Archives/edgar/data/1914281/000095013125000443/d773813dex991.htm</x:v>
      </x:c>
      <x:c r="N34" s="22"/>
      <x:c r="O34" s="22"/>
      <x:c r="P34" s="22"/>
      <x:c r="Q34" s="18"/>
      <x:c r="R34" s="35"/>
      <x:c r="S34" s="35"/>
      <x:c r="T34" s="18"/>
      <x:c r="U34" s="35"/>
      <x:c r="V34" s="35"/>
      <x:c r="W34" s="18"/>
      <x:c r="X34" s="22"/>
      <x:c r="Y34" s="22"/>
      <x:c r="Z34" s="18"/>
      <x:c r="AA34" s="35"/>
      <x:c r="AB34" s="22"/>
      <x:c r="AC34" s="18"/>
      <x:c r="AD34" s="18"/>
      <x:c r="AE34" s="22" t="n">
        <x:v>438445.41</x:v>
      </x:c>
      <x:c r="AF34" s="18" t="str">
        <x:v>aggregate_net_liquidation_proceeds</x:v>
      </x:c>
      <x:c r="AG34" s="22" t="n">
        <x:v>371011.89</x:v>
      </x:c>
      <x:c r="AH34" s="22" t="n">
        <x:v>67433.52</x:v>
      </x:c>
      <x:c r="AI34" s="18" t="str">
        <x:v>UNRESOLVED</x:v>
      </x:c>
      <x:c r="AJ34" s="18" t="str">
        <x:v>TIED</x:v>
      </x:c>
      <x:c r="AK34" s="18" t="str">
        <x:v>TIED</x:v>
      </x:c>
      <x:c r="AL34" s="18"/>
      <x:c r="AM34" s="18"/>
      <x:c r="AN34" s="18" t="str">
        <x:v>toyota-30-59-60-89-90-119-120-plus</x:v>
      </x:c>
      <x:c r="AO34" s="35"/>
      <x:c r="AP34" s="18"/>
      <x:c r="AQ34" s="18" t="str">
        <x:v>recovery_comparator_delta</x:v>
      </x:c>
      <x:c r="AR34" s="18" t="str">
        <x:v>UNRESOLVED</x:v>
      </x:c>
      <x:c r="AS34" s="18" t="str">
        <x:v>No</x:v>
      </x:c>
      <x:c r="AT34" s="18" t="str">
        <x:v>Residual retained; public certificate sources do not attribute this ABS-EE aggregate delta to a timing, population, correction, or classification component.</x:v>
      </x:c>
    </x:row>
    <x:row r="35" ht="32" customHeight="1">
      <x:c r="A35" s="18" t="str">
        <x:v>toyota-2022-b-recovery-v1</x:v>
      </x:c>
      <x:c r="B35" s="18" t="str">
        <x:v>TOYOTA-2022-B</x:v>
      </x:c>
      <x:c r="C35" s="18" t="str">
        <x:v>Toyota Auto Receivables</x:v>
      </x:c>
      <x:c r="D35" s="18" t="str">
        <x:v>2025-01</x:v>
      </x:c>
      <x:c r="E35" s="18" t="str">
        <x:v>2025-01-31</x:v>
      </x:c>
      <x:c r="F35" s="18" t="str">
        <x:v>2025-01-01</x:v>
      </x:c>
      <x:c r="G35" s="18" t="str">
        <x:v>2025-01-31</x:v>
      </x:c>
      <x:c r="H35" s="35" t="n">
        <x:v>31</x:v>
      </x:c>
      <x:c r="I35" s="18" t="str">
        <x:v>2025-02-26</x:v>
      </x:c>
      <x:c r="J35" s="18" t="str">
        <x:v>0000950131-25-000868</x:v>
      </x:c>
      <x:c r="K35" s="18" t="str">
        <x:v>https://www.sec.gov/Archives/edgar/data/1914281/000095013125000868/0000950131-25-000868-index.html</x:v>
      </x:c>
      <x:c r="L35" s="18" t="str">
        <x:v>0000950131-25-000863</x:v>
      </x:c>
      <x:c r="M35" s="18" t="str">
        <x:v>https://www.sec.gov/Archives/edgar/data/1914281/000095013125000863/d892079dex991.htm</x:v>
      </x:c>
      <x:c r="N35" s="22"/>
      <x:c r="O35" s="22"/>
      <x:c r="P35" s="22"/>
      <x:c r="Q35" s="18"/>
      <x:c r="R35" s="35"/>
      <x:c r="S35" s="35"/>
      <x:c r="T35" s="18"/>
      <x:c r="U35" s="35"/>
      <x:c r="V35" s="35"/>
      <x:c r="W35" s="18"/>
      <x:c r="X35" s="22"/>
      <x:c r="Y35" s="22"/>
      <x:c r="Z35" s="18"/>
      <x:c r="AA35" s="35"/>
      <x:c r="AB35" s="22"/>
      <x:c r="AC35" s="18"/>
      <x:c r="AD35" s="18"/>
      <x:c r="AE35" s="22" t="n">
        <x:v>485015.55</x:v>
      </x:c>
      <x:c r="AF35" s="18" t="str">
        <x:v>aggregate_net_liquidation_proceeds</x:v>
      </x:c>
      <x:c r="AG35" s="22" t="n">
        <x:v>449351.41</x:v>
      </x:c>
      <x:c r="AH35" s="22" t="n">
        <x:v>35664.14</x:v>
      </x:c>
      <x:c r="AI35" s="18" t="str">
        <x:v>UNRESOLVED</x:v>
      </x:c>
      <x:c r="AJ35" s="18" t="str">
        <x:v>TIED</x:v>
      </x:c>
      <x:c r="AK35" s="18" t="str">
        <x:v>TIED</x:v>
      </x:c>
      <x:c r="AL35" s="18"/>
      <x:c r="AM35" s="18"/>
      <x:c r="AN35" s="18" t="str">
        <x:v>toyota-30-59-60-89-90-119-120-plus</x:v>
      </x:c>
      <x:c r="AO35" s="35"/>
      <x:c r="AP35" s="18"/>
      <x:c r="AQ35" s="18" t="str">
        <x:v>recovery_comparator_delta</x:v>
      </x:c>
      <x:c r="AR35" s="18" t="str">
        <x:v>UNRESOLVED</x:v>
      </x:c>
      <x:c r="AS35" s="18" t="str">
        <x:v>No</x:v>
      </x:c>
      <x:c r="AT35" s="18" t="str">
        <x:v>Residual retained; public certificate sources do not attribute this ABS-EE aggregate delta to a timing, population, correction, or classification component.</x:v>
      </x:c>
    </x:row>
    <x:row r="36" ht="32" customHeight="1">
      <x:c r="A36" s="18" t="str">
        <x:v>toyota-2022-b-recovery-v1</x:v>
      </x:c>
      <x:c r="B36" s="18" t="str">
        <x:v>TOYOTA-2022-B</x:v>
      </x:c>
      <x:c r="C36" s="18" t="str">
        <x:v>Toyota Auto Receivables</x:v>
      </x:c>
      <x:c r="D36" s="18" t="str">
        <x:v>2025-02</x:v>
      </x:c>
      <x:c r="E36" s="18" t="str">
        <x:v>2025-02-28</x:v>
      </x:c>
      <x:c r="F36" s="18" t="str">
        <x:v>2025-02-01</x:v>
      </x:c>
      <x:c r="G36" s="18" t="str">
        <x:v>2025-02-28</x:v>
      </x:c>
      <x:c r="H36" s="35" t="n">
        <x:v>28</x:v>
      </x:c>
      <x:c r="I36" s="18" t="str">
        <x:v>2025-03-27</x:v>
      </x:c>
      <x:c r="J36" s="18" t="str">
        <x:v>0000950131-25-001329</x:v>
      </x:c>
      <x:c r="K36" s="18" t="str">
        <x:v>https://www.sec.gov/Archives/edgar/data/1914281/000095013125001329/0000950131-25-001329-index.html</x:v>
      </x:c>
      <x:c r="L36" s="18" t="str">
        <x:v>0000950131-25-001325</x:v>
      </x:c>
      <x:c r="M36" s="18" t="str">
        <x:v>https://www.sec.gov/Archives/edgar/data/1914281/000095013125001325/d906153dex991.htm</x:v>
      </x:c>
      <x:c r="N36" s="22"/>
      <x:c r="O36" s="22"/>
      <x:c r="P36" s="22"/>
      <x:c r="Q36" s="18"/>
      <x:c r="R36" s="35"/>
      <x:c r="S36" s="35"/>
      <x:c r="T36" s="18"/>
      <x:c r="U36" s="35"/>
      <x:c r="V36" s="35"/>
      <x:c r="W36" s="18"/>
      <x:c r="X36" s="22"/>
      <x:c r="Y36" s="22"/>
      <x:c r="Z36" s="18"/>
      <x:c r="AA36" s="35"/>
      <x:c r="AB36" s="22"/>
      <x:c r="AC36" s="18"/>
      <x:c r="AD36" s="18"/>
      <x:c r="AE36" s="22" t="n">
        <x:v>298751.07</x:v>
      </x:c>
      <x:c r="AF36" s="18" t="str">
        <x:v>aggregate_net_liquidation_proceeds</x:v>
      </x:c>
      <x:c r="AG36" s="22" t="n">
        <x:v>261734.57</x:v>
      </x:c>
      <x:c r="AH36" s="22" t="n">
        <x:v>37016.5</x:v>
      </x:c>
      <x:c r="AI36" s="18" t="str">
        <x:v>UNRESOLVED</x:v>
      </x:c>
      <x:c r="AJ36" s="18" t="str">
        <x:v>TIED</x:v>
      </x:c>
      <x:c r="AK36" s="18" t="str">
        <x:v>TIED</x:v>
      </x:c>
      <x:c r="AL36" s="18"/>
      <x:c r="AM36" s="18"/>
      <x:c r="AN36" s="18" t="str">
        <x:v>toyota-30-59-60-89-90-119-120-plus</x:v>
      </x:c>
      <x:c r="AO36" s="35"/>
      <x:c r="AP36" s="18"/>
      <x:c r="AQ36" s="18" t="str">
        <x:v>recovery_comparator_delta</x:v>
      </x:c>
      <x:c r="AR36" s="18" t="str">
        <x:v>UNRESOLVED</x:v>
      </x:c>
      <x:c r="AS36" s="18" t="str">
        <x:v>No</x:v>
      </x:c>
      <x:c r="AT36" s="18" t="str">
        <x:v>Residual retained; public certificate sources do not attribute this ABS-EE aggregate delta to a timing, population, correction, or classification component.</x:v>
      </x:c>
    </x:row>
    <x:row r="37" ht="32" customHeight="1">
      <x:c r="A37" s="18" t="str">
        <x:v>toyota-2022-b-recovery-v1</x:v>
      </x:c>
      <x:c r="B37" s="18" t="str">
        <x:v>TOYOTA-2022-B</x:v>
      </x:c>
      <x:c r="C37" s="18" t="str">
        <x:v>Toyota Auto Receivables</x:v>
      </x:c>
      <x:c r="D37" s="18" t="str">
        <x:v>2025-03</x:v>
      </x:c>
      <x:c r="E37" s="18" t="str">
        <x:v>2025-03-31</x:v>
      </x:c>
      <x:c r="F37" s="18" t="str">
        <x:v>2025-03-01</x:v>
      </x:c>
      <x:c r="G37" s="18" t="str">
        <x:v>2025-03-31</x:v>
      </x:c>
      <x:c r="H37" s="35" t="n">
        <x:v>31</x:v>
      </x:c>
      <x:c r="I37" s="18" t="str">
        <x:v>2025-04-28</x:v>
      </x:c>
      <x:c r="J37" s="18" t="str">
        <x:v>0000950131-25-001805</x:v>
      </x:c>
      <x:c r="K37" s="18" t="str">
        <x:v>https://www.sec.gov/Archives/edgar/data/1914281/000095013125001805/0000950131-25-001805-index.html</x:v>
      </x:c>
      <x:c r="L37" s="18" t="str">
        <x:v>0000950131-25-001799</x:v>
      </x:c>
      <x:c r="M37" s="18" t="str">
        <x:v>https://www.sec.gov/Archives/edgar/data/1914281/000095013125001799/d940470dex991.htm</x:v>
      </x:c>
      <x:c r="N37" s="22"/>
      <x:c r="O37" s="22"/>
      <x:c r="P37" s="22"/>
      <x:c r="Q37" s="18"/>
      <x:c r="R37" s="35"/>
      <x:c r="S37" s="35"/>
      <x:c r="T37" s="18"/>
      <x:c r="U37" s="35"/>
      <x:c r="V37" s="35"/>
      <x:c r="W37" s="18"/>
      <x:c r="X37" s="22"/>
      <x:c r="Y37" s="22"/>
      <x:c r="Z37" s="18"/>
      <x:c r="AA37" s="35"/>
      <x:c r="AB37" s="22"/>
      <x:c r="AC37" s="18"/>
      <x:c r="AD37" s="18"/>
      <x:c r="AE37" s="22" t="n">
        <x:v>370248.99</x:v>
      </x:c>
      <x:c r="AF37" s="18" t="str">
        <x:v>aggregate_net_liquidation_proceeds</x:v>
      </x:c>
      <x:c r="AG37" s="22" t="n">
        <x:v>317525.19</x:v>
      </x:c>
      <x:c r="AH37" s="22" t="n">
        <x:v>52723.8</x:v>
      </x:c>
      <x:c r="AI37" s="18" t="str">
        <x:v>UNRESOLVED</x:v>
      </x:c>
      <x:c r="AJ37" s="18" t="str">
        <x:v>TIED</x:v>
      </x:c>
      <x:c r="AK37" s="18" t="str">
        <x:v>TIED</x:v>
      </x:c>
      <x:c r="AL37" s="18"/>
      <x:c r="AM37" s="18"/>
      <x:c r="AN37" s="18" t="str">
        <x:v>toyota-30-59-60-89-90-119-120-plus</x:v>
      </x:c>
      <x:c r="AO37" s="35"/>
      <x:c r="AP37" s="18"/>
      <x:c r="AQ37" s="18" t="str">
        <x:v>recovery_comparator_delta</x:v>
      </x:c>
      <x:c r="AR37" s="18" t="str">
        <x:v>UNRESOLVED</x:v>
      </x:c>
      <x:c r="AS37" s="18" t="str">
        <x:v>No</x:v>
      </x:c>
      <x:c r="AT37" s="18" t="str">
        <x:v>Residual retained; public certificate sources do not attribute this ABS-EE aggregate delta to a timing, population, correction, or classification component.</x:v>
      </x:c>
    </x:row>
    <x:row r="38" ht="32" customHeight="1">
      <x:c r="A38" s="18" t="str">
        <x:v>toyota-2022-b-recovery-v1</x:v>
      </x:c>
      <x:c r="B38" s="18" t="str">
        <x:v>TOYOTA-2022-B</x:v>
      </x:c>
      <x:c r="C38" s="18" t="str">
        <x:v>Toyota Auto Receivables</x:v>
      </x:c>
      <x:c r="D38" s="18" t="str">
        <x:v>2025-04</x:v>
      </x:c>
      <x:c r="E38" s="18" t="str">
        <x:v>2025-04-30</x:v>
      </x:c>
      <x:c r="F38" s="18" t="str">
        <x:v>2025-04-01</x:v>
      </x:c>
      <x:c r="G38" s="18" t="str">
        <x:v>2025-04-30</x:v>
      </x:c>
      <x:c r="H38" s="35" t="n">
        <x:v>30</x:v>
      </x:c>
      <x:c r="I38" s="18" t="str">
        <x:v>2025-05-28</x:v>
      </x:c>
      <x:c r="J38" s="18" t="str">
        <x:v>0000950131-25-002256</x:v>
      </x:c>
      <x:c r="K38" s="18" t="str">
        <x:v>https://www.sec.gov/Archives/edgar/data/1914281/000095013125002256/0000950131-25-002256-index.html</x:v>
      </x:c>
      <x:c r="L38" s="18" t="str">
        <x:v>0000950131-25-002252</x:v>
      </x:c>
      <x:c r="M38" s="18" t="str">
        <x:v>https://www.sec.gov/Archives/edgar/data/1914281/000095013125002252/d948010dex991.htm</x:v>
      </x:c>
      <x:c r="N38" s="22"/>
      <x:c r="O38" s="22"/>
      <x:c r="P38" s="22"/>
      <x:c r="Q38" s="18"/>
      <x:c r="R38" s="35"/>
      <x:c r="S38" s="35"/>
      <x:c r="T38" s="18"/>
      <x:c r="U38" s="35"/>
      <x:c r="V38" s="35"/>
      <x:c r="W38" s="18"/>
      <x:c r="X38" s="22"/>
      <x:c r="Y38" s="22"/>
      <x:c r="Z38" s="18"/>
      <x:c r="AA38" s="35"/>
      <x:c r="AB38" s="22"/>
      <x:c r="AC38" s="18"/>
      <x:c r="AD38" s="18"/>
      <x:c r="AE38" s="22" t="n">
        <x:v>277551.91</x:v>
      </x:c>
      <x:c r="AF38" s="18" t="str">
        <x:v>aggregate_net_liquidation_proceeds</x:v>
      </x:c>
      <x:c r="AG38" s="22" t="n">
        <x:v>213219.79</x:v>
      </x:c>
      <x:c r="AH38" s="22" t="n">
        <x:v>64332.12</x:v>
      </x:c>
      <x:c r="AI38" s="18" t="str">
        <x:v>UNRESOLVED</x:v>
      </x:c>
      <x:c r="AJ38" s="18" t="str">
        <x:v>TIED</x:v>
      </x:c>
      <x:c r="AK38" s="18" t="str">
        <x:v>TIED</x:v>
      </x:c>
      <x:c r="AL38" s="18"/>
      <x:c r="AM38" s="18"/>
      <x:c r="AN38" s="18" t="str">
        <x:v>toyota-30-59-60-89-90-119-120-plus</x:v>
      </x:c>
      <x:c r="AO38" s="35"/>
      <x:c r="AP38" s="18"/>
      <x:c r="AQ38" s="18" t="str">
        <x:v>recovery_comparator_delta</x:v>
      </x:c>
      <x:c r="AR38" s="18" t="str">
        <x:v>UNRESOLVED</x:v>
      </x:c>
      <x:c r="AS38" s="18" t="str">
        <x:v>No</x:v>
      </x:c>
      <x:c r="AT38" s="18" t="str">
        <x:v>Residual retained; public certificate sources do not attribute this ABS-EE aggregate delta to a timing, population, correction, or classification component.</x:v>
      </x:c>
    </x:row>
    <x:row r="39" ht="32" customHeight="1">
      <x:c r="A39" s="18" t="str">
        <x:v>toyota-2022-b-recovery-v1</x:v>
      </x:c>
      <x:c r="B39" s="18" t="str">
        <x:v>TOYOTA-2022-B</x:v>
      </x:c>
      <x:c r="C39" s="18" t="str">
        <x:v>Toyota Auto Receivables</x:v>
      </x:c>
      <x:c r="D39" s="18" t="str">
        <x:v>2025-05</x:v>
      </x:c>
      <x:c r="E39" s="18" t="str">
        <x:v>2025-05-31</x:v>
      </x:c>
      <x:c r="F39" s="18" t="str">
        <x:v>2025-05-01</x:v>
      </x:c>
      <x:c r="G39" s="18" t="str">
        <x:v>2025-05-31</x:v>
      </x:c>
      <x:c r="H39" s="35" t="n">
        <x:v>31</x:v>
      </x:c>
      <x:c r="I39" s="18" t="str">
        <x:v>2025-06-26</x:v>
      </x:c>
      <x:c r="J39" s="18" t="str">
        <x:v>0000950131-25-002654</x:v>
      </x:c>
      <x:c r="K39" s="18" t="str">
        <x:v>https://www.sec.gov/Archives/edgar/data/1914281/000095013125002654/0000950131-25-002654-index.html</x:v>
      </x:c>
      <x:c r="L39" s="18" t="str">
        <x:v>0000950131-25-002649</x:v>
      </x:c>
      <x:c r="M39" s="18" t="str">
        <x:v>https://www.sec.gov/Archives/edgar/data/1914281/000095013125002649/d23037dex991.htm</x:v>
      </x:c>
      <x:c r="N39" s="22"/>
      <x:c r="O39" s="22"/>
      <x:c r="P39" s="22"/>
      <x:c r="Q39" s="18"/>
      <x:c r="R39" s="35"/>
      <x:c r="S39" s="35"/>
      <x:c r="T39" s="18"/>
      <x:c r="U39" s="35"/>
      <x:c r="V39" s="35"/>
      <x:c r="W39" s="18"/>
      <x:c r="X39" s="22"/>
      <x:c r="Y39" s="22"/>
      <x:c r="Z39" s="18"/>
      <x:c r="AA39" s="35"/>
      <x:c r="AB39" s="22"/>
      <x:c r="AC39" s="18"/>
      <x:c r="AD39" s="18"/>
      <x:c r="AE39" s="22" t="n">
        <x:v>397877.94</x:v>
      </x:c>
      <x:c r="AF39" s="18" t="str">
        <x:v>aggregate_net_liquidation_proceeds</x:v>
      </x:c>
      <x:c r="AG39" s="22" t="n">
        <x:v>372501.9</x:v>
      </x:c>
      <x:c r="AH39" s="22" t="n">
        <x:v>25376.04</x:v>
      </x:c>
      <x:c r="AI39" s="18" t="str">
        <x:v>UNRESOLVED</x:v>
      </x:c>
      <x:c r="AJ39" s="18" t="str">
        <x:v>TIED</x:v>
      </x:c>
      <x:c r="AK39" s="18" t="str">
        <x:v>TIED</x:v>
      </x:c>
      <x:c r="AL39" s="18"/>
      <x:c r="AM39" s="18"/>
      <x:c r="AN39" s="18" t="str">
        <x:v>toyota-30-59-60-89-90-119-120-plus</x:v>
      </x:c>
      <x:c r="AO39" s="35"/>
      <x:c r="AP39" s="18"/>
      <x:c r="AQ39" s="18" t="str">
        <x:v>recovery_comparator_delta</x:v>
      </x:c>
      <x:c r="AR39" s="18" t="str">
        <x:v>UNRESOLVED</x:v>
      </x:c>
      <x:c r="AS39" s="18" t="str">
        <x:v>No</x:v>
      </x:c>
      <x:c r="AT39" s="18" t="str">
        <x:v>Residual retained; public certificate sources do not attribute this ABS-EE aggregate delta to a timing, population, correction, or classification component.</x:v>
      </x:c>
    </x:row>
    <x:row r="40" ht="32" customHeight="1">
      <x:c r="A40" s="18" t="str">
        <x:v>toyota-2022-b-recovery-v1</x:v>
      </x:c>
      <x:c r="B40" s="18" t="str">
        <x:v>TOYOTA-2022-B</x:v>
      </x:c>
      <x:c r="C40" s="18" t="str">
        <x:v>Toyota Auto Receivables</x:v>
      </x:c>
      <x:c r="D40" s="18" t="str">
        <x:v>2025-06</x:v>
      </x:c>
      <x:c r="E40" s="18" t="str">
        <x:v>2025-06-30</x:v>
      </x:c>
      <x:c r="F40" s="18" t="str">
        <x:v>2025-06-01</x:v>
      </x:c>
      <x:c r="G40" s="18" t="str">
        <x:v>2025-06-30</x:v>
      </x:c>
      <x:c r="H40" s="35" t="n">
        <x:v>30</x:v>
      </x:c>
      <x:c r="I40" s="18" t="str">
        <x:v>2025-07-29</x:v>
      </x:c>
      <x:c r="J40" s="18" t="str">
        <x:v>0000950131-25-003090</x:v>
      </x:c>
      <x:c r="K40" s="18" t="str">
        <x:v>https://www.sec.gov/Archives/edgar/data/1914281/000095013125003090/0000950131-25-003090-index.html</x:v>
      </x:c>
      <x:c r="L40" s="18" t="str">
        <x:v>0000950131-25-003086</x:v>
      </x:c>
      <x:c r="M40" s="18" t="str">
        <x:v>https://www.sec.gov/Archives/edgar/data/1914281/000095013125003086/d933712dex991.htm</x:v>
      </x:c>
      <x:c r="N40" s="22"/>
      <x:c r="O40" s="22"/>
      <x:c r="P40" s="22"/>
      <x:c r="Q40" s="18"/>
      <x:c r="R40" s="35"/>
      <x:c r="S40" s="35"/>
      <x:c r="T40" s="18"/>
      <x:c r="U40" s="35"/>
      <x:c r="V40" s="35"/>
      <x:c r="W40" s="18"/>
      <x:c r="X40" s="22"/>
      <x:c r="Y40" s="22"/>
      <x:c r="Z40" s="18"/>
      <x:c r="AA40" s="35"/>
      <x:c r="AB40" s="22"/>
      <x:c r="AC40" s="18"/>
      <x:c r="AD40" s="18"/>
      <x:c r="AE40" s="22" t="n">
        <x:v>495041.49</x:v>
      </x:c>
      <x:c r="AF40" s="18" t="str">
        <x:v>aggregate_net_liquidation_proceeds</x:v>
      </x:c>
      <x:c r="AG40" s="22" t="n">
        <x:v>436580.99</x:v>
      </x:c>
      <x:c r="AH40" s="22" t="n">
        <x:v>58460.5</x:v>
      </x:c>
      <x:c r="AI40" s="18" t="str">
        <x:v>UNRESOLVED</x:v>
      </x:c>
      <x:c r="AJ40" s="18" t="str">
        <x:v>TIED</x:v>
      </x:c>
      <x:c r="AK40" s="18" t="str">
        <x:v>TIED</x:v>
      </x:c>
      <x:c r="AL40" s="18"/>
      <x:c r="AM40" s="18"/>
      <x:c r="AN40" s="18" t="str">
        <x:v>toyota-30-59-60-89-90-119-120-plus</x:v>
      </x:c>
      <x:c r="AO40" s="35"/>
      <x:c r="AP40" s="18"/>
      <x:c r="AQ40" s="18" t="str">
        <x:v>recovery_comparator_delta</x:v>
      </x:c>
      <x:c r="AR40" s="18" t="str">
        <x:v>UNRESOLVED</x:v>
      </x:c>
      <x:c r="AS40" s="18" t="str">
        <x:v>No</x:v>
      </x:c>
      <x:c r="AT40" s="18" t="str">
        <x:v>Residual retained; public certificate sources do not attribute this ABS-EE aggregate delta to a timing, population, correction, or classification component.</x:v>
      </x:c>
    </x:row>
    <x:row r="41" ht="32" customHeight="1">
      <x:c r="A41" s="18" t="str">
        <x:v>toyota-2022-b-recovery-v1</x:v>
      </x:c>
      <x:c r="B41" s="18" t="str">
        <x:v>TOYOTA-2022-B</x:v>
      </x:c>
      <x:c r="C41" s="18" t="str">
        <x:v>Toyota Auto Receivables</x:v>
      </x:c>
      <x:c r="D41" s="18" t="str">
        <x:v>2025-07</x:v>
      </x:c>
      <x:c r="E41" s="18" t="str">
        <x:v>2025-07-31</x:v>
      </x:c>
      <x:c r="F41" s="18" t="str">
        <x:v>2025-07-01</x:v>
      </x:c>
      <x:c r="G41" s="18" t="str">
        <x:v>2025-07-31</x:v>
      </x:c>
      <x:c r="H41" s="35" t="n">
        <x:v>31</x:v>
      </x:c>
      <x:c r="I41" s="18" t="str">
        <x:v>2025-08-27</x:v>
      </x:c>
      <x:c r="J41" s="18" t="str">
        <x:v>0000950131-25-003490</x:v>
      </x:c>
      <x:c r="K41" s="18" t="str">
        <x:v>https://www.sec.gov/Archives/edgar/data/1914281/000095013125003490/0000950131-25-003490-index.html</x:v>
      </x:c>
      <x:c r="L41" s="18" t="str">
        <x:v>0000950131-25-003486</x:v>
      </x:c>
      <x:c r="M41" s="18" t="str">
        <x:v>https://www.sec.gov/Archives/edgar/data/1914281/000095013125003486/d66350dex991.htm</x:v>
      </x:c>
      <x:c r="N41" s="22"/>
      <x:c r="O41" s="22"/>
      <x:c r="P41" s="22"/>
      <x:c r="Q41" s="18"/>
      <x:c r="R41" s="35"/>
      <x:c r="S41" s="35"/>
      <x:c r="T41" s="18"/>
      <x:c r="U41" s="35"/>
      <x:c r="V41" s="35"/>
      <x:c r="W41" s="18"/>
      <x:c r="X41" s="22"/>
      <x:c r="Y41" s="22"/>
      <x:c r="Z41" s="18"/>
      <x:c r="AA41" s="35"/>
      <x:c r="AB41" s="22"/>
      <x:c r="AC41" s="18"/>
      <x:c r="AD41" s="18"/>
      <x:c r="AE41" s="22" t="n">
        <x:v>234212.42</x:v>
      </x:c>
      <x:c r="AF41" s="18" t="str">
        <x:v>aggregate_net_liquidation_proceeds</x:v>
      </x:c>
      <x:c r="AG41" s="22" t="n">
        <x:v>193177.42</x:v>
      </x:c>
      <x:c r="AH41" s="22" t="n">
        <x:v>41035</x:v>
      </x:c>
      <x:c r="AI41" s="18" t="str">
        <x:v>UNRESOLVED</x:v>
      </x:c>
      <x:c r="AJ41" s="18" t="str">
        <x:v>TIED</x:v>
      </x:c>
      <x:c r="AK41" s="18" t="str">
        <x:v>TIED</x:v>
      </x:c>
      <x:c r="AL41" s="18"/>
      <x:c r="AM41" s="18"/>
      <x:c r="AN41" s="18" t="str">
        <x:v>toyota-30-59-60-89-90-119-120-plus</x:v>
      </x:c>
      <x:c r="AO41" s="35"/>
      <x:c r="AP41" s="18"/>
      <x:c r="AQ41" s="18" t="str">
        <x:v>recovery_comparator_delta</x:v>
      </x:c>
      <x:c r="AR41" s="18" t="str">
        <x:v>UNRESOLVED</x:v>
      </x:c>
      <x:c r="AS41" s="18" t="str">
        <x:v>No</x:v>
      </x:c>
      <x:c r="AT41" s="18" t="str">
        <x:v>Residual retained; public certificate sources do not attribute this ABS-EE aggregate delta to a timing, population, correction, or classification component.</x:v>
      </x:c>
    </x:row>
    <x:row r="42" ht="32" customHeight="1">
      <x:c r="A42" s="18" t="str">
        <x:v>toyota-2022-b-recovery-v1</x:v>
      </x:c>
      <x:c r="B42" s="18" t="str">
        <x:v>TOYOTA-2022-B</x:v>
      </x:c>
      <x:c r="C42" s="18" t="str">
        <x:v>Toyota Auto Receivables</x:v>
      </x:c>
      <x:c r="D42" s="18" t="str">
        <x:v>2025-08</x:v>
      </x:c>
      <x:c r="E42" s="18" t="str">
        <x:v>2025-08-31</x:v>
      </x:c>
      <x:c r="F42" s="18" t="str">
        <x:v>2025-08-01</x:v>
      </x:c>
      <x:c r="G42" s="18" t="str">
        <x:v>2025-08-31</x:v>
      </x:c>
      <x:c r="H42" s="35" t="n">
        <x:v>31</x:v>
      </x:c>
      <x:c r="I42" s="18" t="str">
        <x:v>2025-09-26</x:v>
      </x:c>
      <x:c r="J42" s="18" t="str">
        <x:v>0001193125-25-219447</x:v>
      </x:c>
      <x:c r="K42" s="18" t="str">
        <x:v>https://www.sec.gov/Archives/edgar/data/1914281/000119312525219447/0001193125-25-219447-index.html</x:v>
      </x:c>
      <x:c r="L42" s="18" t="str">
        <x:v>0001193125-25-219415</x:v>
      </x:c>
      <x:c r="M42" s="18" t="str">
        <x:v>https://www.sec.gov/Archives/edgar/data/1914281/000119312525219415/d938407dex991.htm</x:v>
      </x:c>
      <x:c r="N42" s="22"/>
      <x:c r="O42" s="22"/>
      <x:c r="P42" s="22"/>
      <x:c r="Q42" s="18"/>
      <x:c r="R42" s="35"/>
      <x:c r="S42" s="35"/>
      <x:c r="T42" s="18"/>
      <x:c r="U42" s="35"/>
      <x:c r="V42" s="35"/>
      <x:c r="W42" s="18"/>
      <x:c r="X42" s="22"/>
      <x:c r="Y42" s="22"/>
      <x:c r="Z42" s="18"/>
      <x:c r="AA42" s="35"/>
      <x:c r="AB42" s="22"/>
      <x:c r="AC42" s="18"/>
      <x:c r="AD42" s="18"/>
      <x:c r="AE42" s="22" t="n">
        <x:v>293800.28</x:v>
      </x:c>
      <x:c r="AF42" s="18" t="str">
        <x:v>aggregate_net_liquidation_proceeds</x:v>
      </x:c>
      <x:c r="AG42" s="22" t="n">
        <x:v>283657.9</x:v>
      </x:c>
      <x:c r="AH42" s="22" t="n">
        <x:v>10142.38</x:v>
      </x:c>
      <x:c r="AI42" s="18" t="str">
        <x:v>UNRESOLVED</x:v>
      </x:c>
      <x:c r="AJ42" s="18" t="str">
        <x:v>TIED</x:v>
      </x:c>
      <x:c r="AK42" s="18" t="str">
        <x:v>TIED</x:v>
      </x:c>
      <x:c r="AL42" s="18"/>
      <x:c r="AM42" s="18"/>
      <x:c r="AN42" s="18" t="str">
        <x:v>toyota-30-59-60-89-90-119-120-plus</x:v>
      </x:c>
      <x:c r="AO42" s="35"/>
      <x:c r="AP42" s="18"/>
      <x:c r="AQ42" s="18" t="str">
        <x:v>recovery_comparator_delta</x:v>
      </x:c>
      <x:c r="AR42" s="18" t="str">
        <x:v>UNRESOLVED</x:v>
      </x:c>
      <x:c r="AS42" s="18" t="str">
        <x:v>No</x:v>
      </x:c>
      <x:c r="AT42" s="18" t="str">
        <x:v>Residual retained; public certificate sources do not attribute this ABS-EE aggregate delta to a timing, population, correction, or classification component.</x:v>
      </x:c>
    </x:row>
    <x:row r="43" ht="32" customHeight="1">
      <x:c r="A43" s="18" t="str">
        <x:v>toyota-2022-b-recovery-v1</x:v>
      </x:c>
      <x:c r="B43" s="18" t="str">
        <x:v>TOYOTA-2022-B</x:v>
      </x:c>
      <x:c r="C43" s="18" t="str">
        <x:v>Toyota Auto Receivables</x:v>
      </x:c>
      <x:c r="D43" s="18" t="str">
        <x:v>2025-09</x:v>
      </x:c>
      <x:c r="E43" s="18" t="str">
        <x:v>2025-09-30</x:v>
      </x:c>
      <x:c r="F43" s="18" t="str">
        <x:v>2025-09-01</x:v>
      </x:c>
      <x:c r="G43" s="18" t="str">
        <x:v>2025-09-30</x:v>
      </x:c>
      <x:c r="H43" s="35" t="n">
        <x:v>30</x:v>
      </x:c>
      <x:c r="I43" s="18" t="str">
        <x:v>2025-10-29</x:v>
      </x:c>
      <x:c r="J43" s="18" t="str">
        <x:v>0001193125-25-255453</x:v>
      </x:c>
      <x:c r="K43" s="18" t="str">
        <x:v>https://www.sec.gov/Archives/edgar/data/1914281/000119312525255453/0001193125-25-255453-index.html</x:v>
      </x:c>
      <x:c r="L43" s="18" t="str">
        <x:v>0001193125-25-255446</x:v>
      </x:c>
      <x:c r="M43" s="18" t="str">
        <x:v>https://www.sec.gov/Archives/edgar/data/1914281/000119312525255446/d939448dex991.htm</x:v>
      </x:c>
      <x:c r="N43" s="22"/>
      <x:c r="O43" s="22"/>
      <x:c r="P43" s="22"/>
      <x:c r="Q43" s="18"/>
      <x:c r="R43" s="35"/>
      <x:c r="S43" s="35"/>
      <x:c r="T43" s="18"/>
      <x:c r="U43" s="35"/>
      <x:c r="V43" s="35"/>
      <x:c r="W43" s="18"/>
      <x:c r="X43" s="22"/>
      <x:c r="Y43" s="22"/>
      <x:c r="Z43" s="18"/>
      <x:c r="AA43" s="35"/>
      <x:c r="AB43" s="22"/>
      <x:c r="AC43" s="18"/>
      <x:c r="AD43" s="18"/>
      <x:c r="AE43" s="22" t="n">
        <x:v>192018.88</x:v>
      </x:c>
      <x:c r="AF43" s="18" t="str">
        <x:v>aggregate_net_liquidation_proceeds</x:v>
      </x:c>
      <x:c r="AG43" s="22" t="n">
        <x:v>161670.22</x:v>
      </x:c>
      <x:c r="AH43" s="22" t="n">
        <x:v>30348.66</x:v>
      </x:c>
      <x:c r="AI43" s="18" t="str">
        <x:v>UNRESOLVED</x:v>
      </x:c>
      <x:c r="AJ43" s="18" t="str">
        <x:v>TIED</x:v>
      </x:c>
      <x:c r="AK43" s="18" t="str">
        <x:v>TIED</x:v>
      </x:c>
      <x:c r="AL43" s="18"/>
      <x:c r="AM43" s="18"/>
      <x:c r="AN43" s="18" t="str">
        <x:v>toyota-30-59-60-89-90-119-120-plus</x:v>
      </x:c>
      <x:c r="AO43" s="35"/>
      <x:c r="AP43" s="18"/>
      <x:c r="AQ43" s="18" t="str">
        <x:v>recovery_comparator_delta</x:v>
      </x:c>
      <x:c r="AR43" s="18" t="str">
        <x:v>UNRESOLVED</x:v>
      </x:c>
      <x:c r="AS43" s="18" t="str">
        <x:v>No</x:v>
      </x:c>
      <x:c r="AT43" s="18" t="str">
        <x:v>Residual retained; public certificate sources do not attribute this ABS-EE aggregate delta to a timing, population, correction, or classification component.</x:v>
      </x:c>
    </x:row>
    <x:row r="44" ht="32" customHeight="1">
      <x:c r="A44" s="18" t="str">
        <x:v>toyota-2022-b-recovery-v1</x:v>
      </x:c>
      <x:c r="B44" s="18" t="str">
        <x:v>TOYOTA-2022-B</x:v>
      </x:c>
      <x:c r="C44" s="18" t="str">
        <x:v>Toyota Auto Receivables</x:v>
      </x:c>
      <x:c r="D44" s="18" t="str">
        <x:v>2025-10</x:v>
      </x:c>
      <x:c r="E44" s="18" t="str">
        <x:v>2025-10-31</x:v>
      </x:c>
      <x:c r="F44" s="18" t="str">
        <x:v>2025-10-01</x:v>
      </x:c>
      <x:c r="G44" s="18" t="str">
        <x:v>2025-10-31</x:v>
      </x:c>
      <x:c r="H44" s="35" t="n">
        <x:v>31</x:v>
      </x:c>
      <x:c r="I44" s="18" t="str">
        <x:v>2025-11-25</x:v>
      </x:c>
      <x:c r="J44" s="18" t="str">
        <x:v>0001193125-25-295319</x:v>
      </x:c>
      <x:c r="K44" s="18" t="str">
        <x:v>https://www.sec.gov/Archives/edgar/data/1914281/000119312525295319/0001193125-25-295319-index.html</x:v>
      </x:c>
      <x:c r="L44" s="18" t="str">
        <x:v>0001193125-25-295313</x:v>
      </x:c>
      <x:c r="M44" s="18" t="str">
        <x:v>https://www.sec.gov/Archives/edgar/data/1914281/000119312525295313/d28714dex991.htm</x:v>
      </x:c>
      <x:c r="N44" s="22"/>
      <x:c r="O44" s="22"/>
      <x:c r="P44" s="22"/>
      <x:c r="Q44" s="18"/>
      <x:c r="R44" s="35"/>
      <x:c r="S44" s="35"/>
      <x:c r="T44" s="18"/>
      <x:c r="U44" s="35"/>
      <x:c r="V44" s="35"/>
      <x:c r="W44" s="18"/>
      <x:c r="X44" s="22"/>
      <x:c r="Y44" s="22"/>
      <x:c r="Z44" s="18"/>
      <x:c r="AA44" s="35"/>
      <x:c r="AB44" s="22"/>
      <x:c r="AC44" s="18"/>
      <x:c r="AD44" s="18"/>
      <x:c r="AE44" s="22" t="n">
        <x:v>322298.59</x:v>
      </x:c>
      <x:c r="AF44" s="18" t="str">
        <x:v>aggregate_net_liquidation_proceeds</x:v>
      </x:c>
      <x:c r="AG44" s="22" t="n">
        <x:v>262747.65</x:v>
      </x:c>
      <x:c r="AH44" s="22" t="n">
        <x:v>59550.94</x:v>
      </x:c>
      <x:c r="AI44" s="18" t="str">
        <x:v>UNRESOLVED</x:v>
      </x:c>
      <x:c r="AJ44" s="18" t="str">
        <x:v>TIED</x:v>
      </x:c>
      <x:c r="AK44" s="18" t="str">
        <x:v>TIED</x:v>
      </x:c>
      <x:c r="AL44" s="18"/>
      <x:c r="AM44" s="18"/>
      <x:c r="AN44" s="18" t="str">
        <x:v>toyota-30-59-60-89-90-119-120-plus</x:v>
      </x:c>
      <x:c r="AO44" s="35"/>
      <x:c r="AP44" s="18"/>
      <x:c r="AQ44" s="18" t="str">
        <x:v>recovery_comparator_delta</x:v>
      </x:c>
      <x:c r="AR44" s="18" t="str">
        <x:v>UNRESOLVED</x:v>
      </x:c>
      <x:c r="AS44" s="18" t="str">
        <x:v>No</x:v>
      </x:c>
      <x:c r="AT44" s="18" t="str">
        <x:v>Residual retained; public certificate sources do not attribute this ABS-EE aggregate delta to a timing, population, correction, or classification component.</x:v>
      </x:c>
    </x:row>
    <x:row r="45" ht="32" customHeight="1">
      <x:c r="A45" s="18" t="str">
        <x:v>toyota-2022-b-recovery-v1</x:v>
      </x:c>
      <x:c r="B45" s="18" t="str">
        <x:v>TOYOTA-2022-B</x:v>
      </x:c>
      <x:c r="C45" s="18" t="str">
        <x:v>Toyota Auto Receivables</x:v>
      </x:c>
      <x:c r="D45" s="18" t="str">
        <x:v>2025-11</x:v>
      </x:c>
      <x:c r="E45" s="18" t="str">
        <x:v>2025-11-30</x:v>
      </x:c>
      <x:c r="F45" s="18" t="str">
        <x:v>2025-11-01</x:v>
      </x:c>
      <x:c r="G45" s="18" t="str">
        <x:v>2025-11-30</x:v>
      </x:c>
      <x:c r="H45" s="35" t="n">
        <x:v>30</x:v>
      </x:c>
      <x:c r="I45" s="18" t="str">
        <x:v>2025-12-22</x:v>
      </x:c>
      <x:c r="J45" s="18" t="str">
        <x:v>0001193125-25-327910</x:v>
      </x:c>
      <x:c r="K45" s="18" t="str">
        <x:v>https://www.sec.gov/Archives/edgar/data/1914281/000119312525327910/0001193125-25-327910-index.html</x:v>
      </x:c>
      <x:c r="L45" s="18" t="str">
        <x:v>0001193125-25-327903</x:v>
      </x:c>
      <x:c r="M45" s="18" t="str">
        <x:v>https://www.sec.gov/Archives/edgar/data/1914281/000119312525327903/d911394dex991.htm</x:v>
      </x:c>
      <x:c r="N45" s="22"/>
      <x:c r="O45" s="22"/>
      <x:c r="P45" s="22"/>
      <x:c r="Q45" s="18"/>
      <x:c r="R45" s="35"/>
      <x:c r="S45" s="35"/>
      <x:c r="T45" s="18"/>
      <x:c r="U45" s="35"/>
      <x:c r="V45" s="35"/>
      <x:c r="W45" s="18"/>
      <x:c r="X45" s="22"/>
      <x:c r="Y45" s="22"/>
      <x:c r="Z45" s="18"/>
      <x:c r="AA45" s="35"/>
      <x:c r="AB45" s="22"/>
      <x:c r="AC45" s="18"/>
      <x:c r="AD45" s="18"/>
      <x:c r="AE45" s="22" t="n">
        <x:v>237962.94</x:v>
      </x:c>
      <x:c r="AF45" s="18" t="str">
        <x:v>aggregate_net_liquidation_proceeds</x:v>
      </x:c>
      <x:c r="AG45" s="22" t="n">
        <x:v>207617.94</x:v>
      </x:c>
      <x:c r="AH45" s="22" t="n">
        <x:v>30345</x:v>
      </x:c>
      <x:c r="AI45" s="18" t="str">
        <x:v>UNRESOLVED</x:v>
      </x:c>
      <x:c r="AJ45" s="18" t="str">
        <x:v>TIED</x:v>
      </x:c>
      <x:c r="AK45" s="18" t="str">
        <x:v>TIED</x:v>
      </x:c>
      <x:c r="AL45" s="18"/>
      <x:c r="AM45" s="18"/>
      <x:c r="AN45" s="18" t="str">
        <x:v>toyota-30-59-60-89-90-119-120-plus</x:v>
      </x:c>
      <x:c r="AO45" s="35"/>
      <x:c r="AP45" s="18"/>
      <x:c r="AQ45" s="18" t="str">
        <x:v>recovery_comparator_delta</x:v>
      </x:c>
      <x:c r="AR45" s="18" t="str">
        <x:v>UNRESOLVED</x:v>
      </x:c>
      <x:c r="AS45" s="18" t="str">
        <x:v>No</x:v>
      </x:c>
      <x:c r="AT45" s="18" t="str">
        <x:v>Residual retained; public certificate sources do not attribute this ABS-EE aggregate delta to a timing, population, correction, or classification component.</x:v>
      </x:c>
    </x:row>
    <x:row r="46" ht="32" customHeight="1">
      <x:c r="A46" s="18" t="str">
        <x:v>toyota-2022-b-recovery-v1</x:v>
      </x:c>
      <x:c r="B46" s="18" t="str">
        <x:v>TOYOTA-2022-B</x:v>
      </x:c>
      <x:c r="C46" s="18" t="str">
        <x:v>Toyota Auto Receivables</x:v>
      </x:c>
      <x:c r="D46" s="18" t="str">
        <x:v>2025-12</x:v>
      </x:c>
      <x:c r="E46" s="18" t="str">
        <x:v>2025-12-31</x:v>
      </x:c>
      <x:c r="F46" s="18" t="str">
        <x:v>2025-12-01</x:v>
      </x:c>
      <x:c r="G46" s="18" t="str">
        <x:v>2025-12-31</x:v>
      </x:c>
      <x:c r="H46" s="35" t="n">
        <x:v>31</x:v>
      </x:c>
      <x:c r="I46" s="18" t="str">
        <x:v>2026-01-28</x:v>
      </x:c>
      <x:c r="J46" s="18" t="str">
        <x:v>0001193125-26-026444</x:v>
      </x:c>
      <x:c r="K46" s="18" t="str">
        <x:v>https://www.sec.gov/Archives/edgar/data/1914281/000119312526026444/0001193125-26-026444-index.html</x:v>
      </x:c>
      <x:c r="L46" s="18" t="str">
        <x:v>0001193125-26-026437</x:v>
      </x:c>
      <x:c r="M46" s="18" t="str">
        <x:v>https://www.sec.gov/Archives/edgar/data/1914281/000119312526026437/d47196dex991.htm</x:v>
      </x:c>
      <x:c r="N46" s="22"/>
      <x:c r="O46" s="22"/>
      <x:c r="P46" s="22"/>
      <x:c r="Q46" s="18"/>
      <x:c r="R46" s="35"/>
      <x:c r="S46" s="35"/>
      <x:c r="T46" s="18"/>
      <x:c r="U46" s="35"/>
      <x:c r="V46" s="35"/>
      <x:c r="W46" s="18"/>
      <x:c r="X46" s="22"/>
      <x:c r="Y46" s="22"/>
      <x:c r="Z46" s="18"/>
      <x:c r="AA46" s="35"/>
      <x:c r="AB46" s="22"/>
      <x:c r="AC46" s="18"/>
      <x:c r="AD46" s="18"/>
      <x:c r="AE46" s="22" t="n">
        <x:v>207700.39</x:v>
      </x:c>
      <x:c r="AF46" s="18" t="str">
        <x:v>aggregate_net_liquidation_proceeds</x:v>
      </x:c>
      <x:c r="AG46" s="22" t="n">
        <x:v>176926.11</x:v>
      </x:c>
      <x:c r="AH46" s="22" t="n">
        <x:v>30774.28</x:v>
      </x:c>
      <x:c r="AI46" s="18" t="str">
        <x:v>UNRESOLVED</x:v>
      </x:c>
      <x:c r="AJ46" s="18" t="str">
        <x:v>TIED</x:v>
      </x:c>
      <x:c r="AK46" s="18" t="str">
        <x:v>TIED</x:v>
      </x:c>
      <x:c r="AL46" s="18"/>
      <x:c r="AM46" s="18"/>
      <x:c r="AN46" s="18" t="str">
        <x:v>toyota-30-59-60-89-90-119-120-plus</x:v>
      </x:c>
      <x:c r="AO46" s="35"/>
      <x:c r="AP46" s="18"/>
      <x:c r="AQ46" s="18" t="str">
        <x:v>recovery_comparator_delta</x:v>
      </x:c>
      <x:c r="AR46" s="18" t="str">
        <x:v>UNRESOLVED</x:v>
      </x:c>
      <x:c r="AS46" s="18" t="str">
        <x:v>No</x:v>
      </x:c>
      <x:c r="AT46" s="18" t="str">
        <x:v>Residual retained; public certificate sources do not attribute this ABS-EE aggregate delta to a timing, population, correction, or classification component.</x:v>
      </x:c>
    </x:row>
    <x:row r="47" ht="32" customHeight="1">
      <x:c r="A47" s="18" t="str">
        <x:v>toyota-2022-b-recovery-v1</x:v>
      </x:c>
      <x:c r="B47" s="18" t="str">
        <x:v>TOYOTA-2022-B</x:v>
      </x:c>
      <x:c r="C47" s="18" t="str">
        <x:v>Toyota Auto Receivables</x:v>
      </x:c>
      <x:c r="D47" s="18" t="str">
        <x:v>2026-01</x:v>
      </x:c>
      <x:c r="E47" s="18" t="str">
        <x:v>2026-01-31</x:v>
      </x:c>
      <x:c r="F47" s="18" t="str">
        <x:v>2026-01-01</x:v>
      </x:c>
      <x:c r="G47" s="18" t="str">
        <x:v>2026-01-31</x:v>
      </x:c>
      <x:c r="H47" s="35" t="n">
        <x:v>31</x:v>
      </x:c>
      <x:c r="I47" s="18" t="str">
        <x:v>2026-02-25</x:v>
      </x:c>
      <x:c r="J47" s="18" t="str">
        <x:v>0001193125-26-069126</x:v>
      </x:c>
      <x:c r="K47" s="18" t="str">
        <x:v>https://www.sec.gov/Archives/edgar/data/1914281/000119312526069126/0001193125-26-069126-index.html</x:v>
      </x:c>
      <x:c r="L47" s="18" t="str">
        <x:v>0001193125-26-069115</x:v>
      </x:c>
      <x:c r="M47" s="18" t="str">
        <x:v>https://www.sec.gov/Archives/edgar/data/1914281/000119312526069115/d917049dex991.htm</x:v>
      </x:c>
      <x:c r="N47" s="22"/>
      <x:c r="O47" s="22"/>
      <x:c r="P47" s="22"/>
      <x:c r="Q47" s="18"/>
      <x:c r="R47" s="35"/>
      <x:c r="S47" s="35"/>
      <x:c r="T47" s="18"/>
      <x:c r="U47" s="35"/>
      <x:c r="V47" s="35"/>
      <x:c r="W47" s="18"/>
      <x:c r="X47" s="22"/>
      <x:c r="Y47" s="22"/>
      <x:c r="Z47" s="18"/>
      <x:c r="AA47" s="35"/>
      <x:c r="AB47" s="22"/>
      <x:c r="AC47" s="18"/>
      <x:c r="AD47" s="18"/>
      <x:c r="AE47" s="22" t="n">
        <x:v>226670.02</x:v>
      </x:c>
      <x:c r="AF47" s="18" t="str">
        <x:v>aggregate_net_liquidation_proceeds</x:v>
      </x:c>
      <x:c r="AG47" s="22" t="n">
        <x:v>197682.64</x:v>
      </x:c>
      <x:c r="AH47" s="22" t="n">
        <x:v>28987.38</x:v>
      </x:c>
      <x:c r="AI47" s="18" t="str">
        <x:v>UNRESOLVED</x:v>
      </x:c>
      <x:c r="AJ47" s="18" t="str">
        <x:v>TIED</x:v>
      </x:c>
      <x:c r="AK47" s="18" t="str">
        <x:v>TIED</x:v>
      </x:c>
      <x:c r="AL47" s="18"/>
      <x:c r="AM47" s="18"/>
      <x:c r="AN47" s="18" t="str">
        <x:v>toyota-30-59-60-89-90-119-120-plus</x:v>
      </x:c>
      <x:c r="AO47" s="35"/>
      <x:c r="AP47" s="18"/>
      <x:c r="AQ47" s="18" t="str">
        <x:v>recovery_comparator_delta</x:v>
      </x:c>
      <x:c r="AR47" s="18" t="str">
        <x:v>UNRESOLVED</x:v>
      </x:c>
      <x:c r="AS47" s="18" t="str">
        <x:v>No</x:v>
      </x:c>
      <x:c r="AT47" s="18" t="str">
        <x:v>Residual retained; public certificate sources do not attribute this ABS-EE aggregate delta to a timing, population, correction, or classification component.</x:v>
      </x:c>
    </x:row>
    <x:row r="48" ht="32" customHeight="1">
      <x:c r="A48" s="18" t="str">
        <x:v>toyota-2022-b-recovery-v1</x:v>
      </x:c>
      <x:c r="B48" s="18" t="str">
        <x:v>TOYOTA-2022-B</x:v>
      </x:c>
      <x:c r="C48" s="18" t="str">
        <x:v>Toyota Auto Receivables</x:v>
      </x:c>
      <x:c r="D48" s="18" t="str">
        <x:v>2026-02</x:v>
      </x:c>
      <x:c r="E48" s="18" t="str">
        <x:v>2026-02-28</x:v>
      </x:c>
      <x:c r="F48" s="18" t="str">
        <x:v>2026-02-01</x:v>
      </x:c>
      <x:c r="G48" s="18" t="str">
        <x:v>2026-02-28</x:v>
      </x:c>
      <x:c r="H48" s="35" t="n">
        <x:v>28</x:v>
      </x:c>
      <x:c r="I48" s="18" t="str">
        <x:v>2026-03-27</x:v>
      </x:c>
      <x:c r="J48" s="18" t="str">
        <x:v>0001193125-26-127862</x:v>
      </x:c>
      <x:c r="K48" s="18" t="str">
        <x:v>https://www.sec.gov/Archives/edgar/data/1914281/000119312526127862/0001193125-26-127862-index.html</x:v>
      </x:c>
      <x:c r="L48" s="18" t="str">
        <x:v>0001193125-26-127854</x:v>
      </x:c>
      <x:c r="M48" s="18" t="str">
        <x:v>https://www.sec.gov/Archives/edgar/data/1914281/000119312526127854/d43447dex991.htm</x:v>
      </x:c>
      <x:c r="N48" s="22"/>
      <x:c r="O48" s="22"/>
      <x:c r="P48" s="22"/>
      <x:c r="Q48" s="18"/>
      <x:c r="R48" s="35"/>
      <x:c r="S48" s="35"/>
      <x:c r="T48" s="18"/>
      <x:c r="U48" s="35"/>
      <x:c r="V48" s="35"/>
      <x:c r="W48" s="18"/>
      <x:c r="X48" s="22"/>
      <x:c r="Y48" s="22"/>
      <x:c r="Z48" s="18"/>
      <x:c r="AA48" s="35"/>
      <x:c r="AB48" s="22"/>
      <x:c r="AC48" s="18"/>
      <x:c r="AD48" s="18"/>
      <x:c r="AE48" s="22" t="n">
        <x:v>188906.52</x:v>
      </x:c>
      <x:c r="AF48" s="18" t="str">
        <x:v>aggregate_net_liquidation_proceeds</x:v>
      </x:c>
      <x:c r="AG48" s="22" t="n">
        <x:v>150575.68</x:v>
      </x:c>
      <x:c r="AH48" s="22" t="n">
        <x:v>38330.84</x:v>
      </x:c>
      <x:c r="AI48" s="18" t="str">
        <x:v>UNRESOLVED</x:v>
      </x:c>
      <x:c r="AJ48" s="18" t="str">
        <x:v>TIED</x:v>
      </x:c>
      <x:c r="AK48" s="18" t="str">
        <x:v>TIED</x:v>
      </x:c>
      <x:c r="AL48" s="18"/>
      <x:c r="AM48" s="18"/>
      <x:c r="AN48" s="18" t="str">
        <x:v>toyota-30-59-60-89-90-119-120-plus</x:v>
      </x:c>
      <x:c r="AO48" s="35"/>
      <x:c r="AP48" s="18"/>
      <x:c r="AQ48" s="18" t="str">
        <x:v>recovery_comparator_delta</x:v>
      </x:c>
      <x:c r="AR48" s="18" t="str">
        <x:v>UNRESOLVED</x:v>
      </x:c>
      <x:c r="AS48" s="18" t="str">
        <x:v>No</x:v>
      </x:c>
      <x:c r="AT48" s="18" t="str">
        <x:v>Residual retained; public certificate sources do not attribute this ABS-EE aggregate delta to a timing, population, correction, or classification component.</x:v>
      </x:c>
    </x:row>
    <x:row r="49" ht="32" customHeight="1">
      <x:c r="A49" s="18" t="str">
        <x:v>toyota-2022-b-recovery-v1</x:v>
      </x:c>
      <x:c r="B49" s="18" t="str">
        <x:v>TOYOTA-2022-B</x:v>
      </x:c>
      <x:c r="C49" s="18" t="str">
        <x:v>Toyota Auto Receivables</x:v>
      </x:c>
      <x:c r="D49" s="18" t="str">
        <x:v>2026-03</x:v>
      </x:c>
      <x:c r="E49" s="18" t="str">
        <x:v>2026-03-31</x:v>
      </x:c>
      <x:c r="F49" s="18" t="str">
        <x:v>2026-03-01</x:v>
      </x:c>
      <x:c r="G49" s="18" t="str">
        <x:v>2026-03-31</x:v>
      </x:c>
      <x:c r="H49" s="35" t="n">
        <x:v>31</x:v>
      </x:c>
      <x:c r="I49" s="18" t="str">
        <x:v>2026-04-28</x:v>
      </x:c>
      <x:c r="J49" s="18" t="str">
        <x:v>0001193125-26-184550</x:v>
      </x:c>
      <x:c r="K49" s="18" t="str">
        <x:v>https://www.sec.gov/Archives/edgar/data/1914281/000119312526184550/0001193125-26-184550-index.html</x:v>
      </x:c>
      <x:c r="L49" s="18" t="str">
        <x:v>0001193125-26-184543</x:v>
      </x:c>
      <x:c r="M49" s="18" t="str">
        <x:v>https://www.sec.gov/Archives/edgar/data/1914281/000119312526184543/d141578dex991.htm</x:v>
      </x:c>
      <x:c r="N49" s="22"/>
      <x:c r="O49" s="22"/>
      <x:c r="P49" s="22"/>
      <x:c r="Q49" s="18"/>
      <x:c r="R49" s="35"/>
      <x:c r="S49" s="35"/>
      <x:c r="T49" s="18"/>
      <x:c r="U49" s="35"/>
      <x:c r="V49" s="35"/>
      <x:c r="W49" s="18"/>
      <x:c r="X49" s="22"/>
      <x:c r="Y49" s="22"/>
      <x:c r="Z49" s="18"/>
      <x:c r="AA49" s="35"/>
      <x:c r="AB49" s="22"/>
      <x:c r="AC49" s="18"/>
      <x:c r="AD49" s="18"/>
      <x:c r="AE49" s="22" t="n">
        <x:v>261561.7</x:v>
      </x:c>
      <x:c r="AF49" s="18" t="str">
        <x:v>aggregate_net_liquidation_proceeds</x:v>
      </x:c>
      <x:c r="AG49" s="22" t="n">
        <x:v>229391.88</x:v>
      </x:c>
      <x:c r="AH49" s="22" t="n">
        <x:v>32169.82</x:v>
      </x:c>
      <x:c r="AI49" s="18" t="str">
        <x:v>UNRESOLVED</x:v>
      </x:c>
      <x:c r="AJ49" s="18" t="str">
        <x:v>TIED</x:v>
      </x:c>
      <x:c r="AK49" s="18" t="str">
        <x:v>TIED</x:v>
      </x:c>
      <x:c r="AL49" s="18"/>
      <x:c r="AM49" s="18"/>
      <x:c r="AN49" s="18" t="str">
        <x:v>toyota-30-59-60-89-90-119-120-plus</x:v>
      </x:c>
      <x:c r="AO49" s="35"/>
      <x:c r="AP49" s="18"/>
      <x:c r="AQ49" s="18" t="str">
        <x:v>recovery_comparator_delta</x:v>
      </x:c>
      <x:c r="AR49" s="18" t="str">
        <x:v>UNRESOLVED</x:v>
      </x:c>
      <x:c r="AS49" s="18" t="str">
        <x:v>No</x:v>
      </x:c>
      <x:c r="AT49" s="18" t="str">
        <x:v>Residual retained; public certificate sources do not attribute this ABS-EE aggregate delta to a timing, population, correction, or classification component.</x:v>
      </x:c>
    </x:row>
    <x:row r="50" ht="32" customHeight="1">
      <x:c r="A50" s="18" t="str">
        <x:v>toyota-2022-b-recovery-v1</x:v>
      </x:c>
      <x:c r="B50" s="18" t="str">
        <x:v>TOYOTA-2022-B</x:v>
      </x:c>
      <x:c r="C50" s="18" t="str">
        <x:v>Toyota Auto Receivables</x:v>
      </x:c>
      <x:c r="D50" s="18" t="str">
        <x:v>2026-04</x:v>
      </x:c>
      <x:c r="E50" s="18" t="str">
        <x:v>2026-04-30</x:v>
      </x:c>
      <x:c r="F50" s="18" t="str">
        <x:v>2026-04-01</x:v>
      </x:c>
      <x:c r="G50" s="18" t="str">
        <x:v>2026-04-30</x:v>
      </x:c>
      <x:c r="H50" s="35" t="n">
        <x:v>30</x:v>
      </x:c>
      <x:c r="I50" s="18" t="str">
        <x:v>2026-05-27</x:v>
      </x:c>
      <x:c r="J50" s="18" t="str">
        <x:v>0001193125-26-240773</x:v>
      </x:c>
      <x:c r="K50" s="18" t="str">
        <x:v>https://www.sec.gov/Archives/edgar/data/1914281/000119312526240773/0001193125-26-240773-index.html</x:v>
      </x:c>
      <x:c r="L50" s="18" t="str">
        <x:v>0001193125-26-240769</x:v>
      </x:c>
      <x:c r="M50" s="18" t="str">
        <x:v>https://www.sec.gov/Archives/edgar/data/1914281/000119312526240769/d135286dex991.htm</x:v>
      </x:c>
      <x:c r="N50" s="22"/>
      <x:c r="O50" s="22"/>
      <x:c r="P50" s="22"/>
      <x:c r="Q50" s="18"/>
      <x:c r="R50" s="35"/>
      <x:c r="S50" s="35"/>
      <x:c r="T50" s="18"/>
      <x:c r="U50" s="35"/>
      <x:c r="V50" s="35"/>
      <x:c r="W50" s="18"/>
      <x:c r="X50" s="22"/>
      <x:c r="Y50" s="22"/>
      <x:c r="Z50" s="18"/>
      <x:c r="AA50" s="35"/>
      <x:c r="AB50" s="22"/>
      <x:c r="AC50" s="18"/>
      <x:c r="AD50" s="18"/>
      <x:c r="AE50" s="22" t="n">
        <x:v>198922.82</x:v>
      </x:c>
      <x:c r="AF50" s="18" t="str">
        <x:v>aggregate_net_liquidation_proceeds</x:v>
      </x:c>
      <x:c r="AG50" s="22" t="n">
        <x:v>179246.52</x:v>
      </x:c>
      <x:c r="AH50" s="22" t="n">
        <x:v>19676.3</x:v>
      </x:c>
      <x:c r="AI50" s="18" t="str">
        <x:v>UNRESOLVED</x:v>
      </x:c>
      <x:c r="AJ50" s="18" t="str">
        <x:v>TIED</x:v>
      </x:c>
      <x:c r="AK50" s="18" t="str">
        <x:v>TIED</x:v>
      </x:c>
      <x:c r="AL50" s="18"/>
      <x:c r="AM50" s="18"/>
      <x:c r="AN50" s="18" t="str">
        <x:v>toyota-30-59-60-89-90-119-120-plus</x:v>
      </x:c>
      <x:c r="AO50" s="35"/>
      <x:c r="AP50" s="18"/>
      <x:c r="AQ50" s="18" t="str">
        <x:v>recovery_comparator_delta</x:v>
      </x:c>
      <x:c r="AR50" s="18" t="str">
        <x:v>UNRESOLVED</x:v>
      </x:c>
      <x:c r="AS50" s="18" t="str">
        <x:v>No</x:v>
      </x:c>
      <x:c r="AT50" s="18" t="str">
        <x:v>Residual retained; public certificate sources do not attribute this ABS-EE aggregate delta to a timing, population, correction, or classification component.</x:v>
      </x:c>
    </x:row>
    <x:row r="51" ht="32" customHeight="1">
      <x:c r="A51" s="18" t="str">
        <x:v>toyota-2022-b-recovery-v1</x:v>
      </x:c>
      <x:c r="B51" s="18" t="str">
        <x:v>TOYOTA-2022-B</x:v>
      </x:c>
      <x:c r="C51" s="18" t="str">
        <x:v>Toyota Auto Receivables</x:v>
      </x:c>
      <x:c r="D51" s="18" t="str">
        <x:v>2026-05</x:v>
      </x:c>
      <x:c r="E51" s="18" t="str">
        <x:v>2026-05-31</x:v>
      </x:c>
      <x:c r="F51" s="18" t="str">
        <x:v>2026-05-01</x:v>
      </x:c>
      <x:c r="G51" s="18" t="str">
        <x:v>2026-05-31</x:v>
      </x:c>
      <x:c r="H51" s="35" t="n">
        <x:v>31</x:v>
      </x:c>
      <x:c r="I51" s="18" t="str">
        <x:v>2026-06-26</x:v>
      </x:c>
      <x:c r="J51" s="18" t="str">
        <x:v>0001193125-26-284181</x:v>
      </x:c>
      <x:c r="K51" s="18" t="str">
        <x:v>https://www.sec.gov/Archives/edgar/data/1914281/000119312526284181/0001193125-26-284181-index.html</x:v>
      </x:c>
      <x:c r="L51" s="18" t="str">
        <x:v>0001193125-26-284175</x:v>
      </x:c>
      <x:c r="M51" s="18" t="str">
        <x:v>https://www.sec.gov/Archives/edgar/data/1914281/000119312526284175/d948146dex991.htm</x:v>
      </x:c>
      <x:c r="N51" s="22"/>
      <x:c r="O51" s="22"/>
      <x:c r="P51" s="22"/>
      <x:c r="Q51" s="18"/>
      <x:c r="R51" s="35"/>
      <x:c r="S51" s="35"/>
      <x:c r="T51" s="18"/>
      <x:c r="U51" s="35"/>
      <x:c r="V51" s="35"/>
      <x:c r="W51" s="18"/>
      <x:c r="X51" s="22"/>
      <x:c r="Y51" s="22"/>
      <x:c r="Z51" s="18"/>
      <x:c r="AA51" s="35"/>
      <x:c r="AB51" s="22"/>
      <x:c r="AC51" s="18"/>
      <x:c r="AD51" s="18"/>
      <x:c r="AE51" s="22" t="n">
        <x:v>163897.05</x:v>
      </x:c>
      <x:c r="AF51" s="18" t="str">
        <x:v>aggregate_net_liquidation_proceeds</x:v>
      </x:c>
      <x:c r="AG51" s="22" t="n">
        <x:v>146424.31</x:v>
      </x:c>
      <x:c r="AH51" s="22" t="n">
        <x:v>17472.74</x:v>
      </x:c>
      <x:c r="AI51" s="18" t="str">
        <x:v>UNRESOLVED</x:v>
      </x:c>
      <x:c r="AJ51" s="18" t="str">
        <x:v>TIED</x:v>
      </x:c>
      <x:c r="AK51" s="18" t="str">
        <x:v>TIED</x:v>
      </x:c>
      <x:c r="AL51" s="18"/>
      <x:c r="AM51" s="18"/>
      <x:c r="AN51" s="18" t="str">
        <x:v>toyota-30-59-60-89-90-119-120-plus</x:v>
      </x:c>
      <x:c r="AO51" s="35"/>
      <x:c r="AP51" s="18"/>
      <x:c r="AQ51" s="18" t="str">
        <x:v>recovery_comparator_delta</x:v>
      </x:c>
      <x:c r="AR51" s="18" t="str">
        <x:v>UNRESOLVED</x:v>
      </x:c>
      <x:c r="AS51" s="18" t="str">
        <x:v>No</x:v>
      </x:c>
      <x:c r="AT51" s="18" t="str">
        <x:v>Residual retained; public certificate sources do not attribute this ABS-EE aggregate delta to a timing, population, correction, or classification component.</x:v>
      </x:c>
    </x:row>
    <x:row r="52" ht="32" customHeight="1">
      <x:c r="A52" s="18" t="str">
        <x:v>toyota-2022-b-recovery-v1</x:v>
      </x:c>
      <x:c r="B52" s="18" t="str">
        <x:v>TOYOTA-2022-B</x:v>
      </x:c>
      <x:c r="C52" s="18" t="str">
        <x:v>Toyota Auto Receivables</x:v>
      </x:c>
      <x:c r="D52" s="18" t="str">
        <x:v>2026-06</x:v>
      </x:c>
      <x:c r="E52" s="18" t="str">
        <x:v>2026-06-30</x:v>
      </x:c>
      <x:c r="F52" s="18" t="str">
        <x:v>2026-06-01</x:v>
      </x:c>
      <x:c r="G52" s="18" t="str">
        <x:v>2026-06-30</x:v>
      </x:c>
      <x:c r="H52" s="35" t="n">
        <x:v>30</x:v>
      </x:c>
      <x:c r="I52" s="18" t="str">
        <x:v>2026-07-29</x:v>
      </x:c>
      <x:c r="J52" s="18" t="str">
        <x:v>0001193125-26-322411</x:v>
      </x:c>
      <x:c r="K52" s="18" t="str">
        <x:v>https://www.sec.gov/Archives/edgar/data/1914281/000119312526322411/0001193125-26-322411-index.html</x:v>
      </x:c>
      <x:c r="L52" s="18" t="str">
        <x:v>0001193125-26-322407</x:v>
      </x:c>
      <x:c r="M52" s="18" t="str">
        <x:v>https://www.sec.gov/Archives/edgar/data/1914281/000119312526322407/d70261dex991.htm</x:v>
      </x:c>
      <x:c r="N52" s="22"/>
      <x:c r="O52" s="22"/>
      <x:c r="P52" s="22"/>
      <x:c r="Q52" s="18"/>
      <x:c r="R52" s="35"/>
      <x:c r="S52" s="35"/>
      <x:c r="T52" s="18"/>
      <x:c r="U52" s="35"/>
      <x:c r="V52" s="35"/>
      <x:c r="W52" s="18"/>
      <x:c r="X52" s="22"/>
      <x:c r="Y52" s="22"/>
      <x:c r="Z52" s="18"/>
      <x:c r="AA52" s="35"/>
      <x:c r="AB52" s="22"/>
      <x:c r="AC52" s="18"/>
      <x:c r="AD52" s="18"/>
      <x:c r="AE52" s="22" t="n">
        <x:v>216238.24</x:v>
      </x:c>
      <x:c r="AF52" s="18" t="str">
        <x:v>aggregate_net_liquidation_proceeds</x:v>
      </x:c>
      <x:c r="AG52" s="22" t="n">
        <x:v>182536.5</x:v>
      </x:c>
      <x:c r="AH52" s="22" t="n">
        <x:v>33701.74</x:v>
      </x:c>
      <x:c r="AI52" s="18" t="str">
        <x:v>UNRESOLVED</x:v>
      </x:c>
      <x:c r="AJ52" s="18" t="str">
        <x:v>TIED</x:v>
      </x:c>
      <x:c r="AK52" s="18" t="str">
        <x:v>TIED</x:v>
      </x:c>
      <x:c r="AL52" s="18"/>
      <x:c r="AM52" s="18"/>
      <x:c r="AN52" s="18" t="str">
        <x:v>toyota-30-59-60-89-90-119-120-plus</x:v>
      </x:c>
      <x:c r="AO52" s="35"/>
      <x:c r="AP52" s="18"/>
      <x:c r="AQ52" s="18" t="str">
        <x:v>recovery_comparator_delta</x:v>
      </x:c>
      <x:c r="AR52" s="18" t="str">
        <x:v>UNRESOLVED</x:v>
      </x:c>
      <x:c r="AS52" s="18" t="str">
        <x:v>No</x:v>
      </x:c>
      <x:c r="AT52" s="18" t="str">
        <x:v>Residual retained; public certificate sources do not attribute this ABS-EE aggregate delta to a timing, population, correction, or classification component.</x:v>
      </x:c>
    </x:row>
    <x:row r="53" ht="32" customHeight="1">
      <x:c r="A53" s="18" t="str">
        <x:v>toyota-2024-b-recovery-v1</x:v>
      </x:c>
      <x:c r="B53" s="18" t="str">
        <x:v>TOYOTA-2024-B</x:v>
      </x:c>
      <x:c r="C53" s="18" t="str">
        <x:v>Toyota Auto Receivables</x:v>
      </x:c>
      <x:c r="D53" s="18" t="str">
        <x:v>2024-04</x:v>
      </x:c>
      <x:c r="E53" s="18" t="str">
        <x:v>2024-04-30</x:v>
      </x:c>
      <x:c r="F53" s="18" t="str">
        <x:v>2024-03-01</x:v>
      </x:c>
      <x:c r="G53" s="18" t="str">
        <x:v>2024-04-30</x:v>
      </x:c>
      <x:c r="H53" s="35" t="n">
        <x:v>61</x:v>
      </x:c>
      <x:c r="I53" s="18" t="str">
        <x:v>2024-05-29</x:v>
      </x:c>
      <x:c r="J53" s="18" t="str">
        <x:v>0000950131-24-002192</x:v>
      </x:c>
      <x:c r="K53" s="18" t="str">
        <x:v>https://www.sec.gov/Archives/edgar/data/2012786/000095013124002192/0000950131-24-002192-index.html</x:v>
      </x:c>
      <x:c r="L53" s="18" t="str">
        <x:v>0000950131-24-002190</x:v>
      </x:c>
      <x:c r="M53" s="18" t="str">
        <x:v>https://www.sec.gov/Archives/edgar/data/2012786/000095013124002190/d824511dex991.htm</x:v>
      </x:c>
      <x:c r="N53" s="22"/>
      <x:c r="O53" s="22"/>
      <x:c r="P53" s="22"/>
      <x:c r="Q53" s="18"/>
      <x:c r="R53" s="35"/>
      <x:c r="S53" s="35"/>
      <x:c r="T53" s="18"/>
      <x:c r="U53" s="35"/>
      <x:c r="V53" s="35"/>
      <x:c r="W53" s="18"/>
      <x:c r="X53" s="22"/>
      <x:c r="Y53" s="22"/>
      <x:c r="Z53" s="18"/>
      <x:c r="AA53" s="35"/>
      <x:c r="AB53" s="22"/>
      <x:c r="AC53" s="18"/>
      <x:c r="AD53" s="18"/>
      <x:c r="AE53" s="22" t="n">
        <x:v>0</x:v>
      </x:c>
      <x:c r="AF53" s="18" t="str">
        <x:v>aggregate_net_liquidation_proceeds</x:v>
      </x:c>
      <x:c r="AG53" s="22" t="n">
        <x:v>0</x:v>
      </x:c>
      <x:c r="AH53" s="22" t="n">
        <x:v>0</x:v>
      </x:c>
      <x:c r="AI53" s="18" t="str">
        <x:v>TIED</x:v>
      </x:c>
      <x:c r="AJ53" s="18" t="str">
        <x:v>TIED</x:v>
      </x:c>
      <x:c r="AK53" s="18" t="str">
        <x:v>TIED</x:v>
      </x:c>
      <x:c r="AL53" s="18"/>
      <x:c r="AM53" s="18"/>
      <x:c r="AN53" s="18" t="str">
        <x:v>toyota-30-59-60-89-90-119-120-plus</x:v>
      </x:c>
      <x:c r="AO53" s="35"/>
      <x:c r="AP53" s="18"/>
      <x:c r="AQ53" s="18"/>
      <x:c r="AR53" s="18" t="str">
        <x:v>NO_EXCEPTION_IN_RELEASE_SCOPE</x:v>
      </x:c>
      <x:c r="AS53" s="18" t="str">
        <x:v>No</x:v>
      </x:c>
      <x:c r="AT53" s="18"/>
    </x:row>
    <x:row r="54" ht="32" customHeight="1">
      <x:c r="A54" s="18" t="str">
        <x:v>toyota-2024-b-recovery-v1</x:v>
      </x:c>
      <x:c r="B54" s="18" t="str">
        <x:v>TOYOTA-2024-B</x:v>
      </x:c>
      <x:c r="C54" s="18" t="str">
        <x:v>Toyota Auto Receivables</x:v>
      </x:c>
      <x:c r="D54" s="18" t="str">
        <x:v>2024-05</x:v>
      </x:c>
      <x:c r="E54" s="18" t="str">
        <x:v>2024-05-31</x:v>
      </x:c>
      <x:c r="F54" s="18" t="str">
        <x:v>2024-05-01</x:v>
      </x:c>
      <x:c r="G54" s="18" t="str">
        <x:v>2024-05-31</x:v>
      </x:c>
      <x:c r="H54" s="35" t="n">
        <x:v>31</x:v>
      </x:c>
      <x:c r="I54" s="18" t="str">
        <x:v>2024-06-26</x:v>
      </x:c>
      <x:c r="J54" s="18" t="str">
        <x:v>0000950131-24-002709</x:v>
      </x:c>
      <x:c r="K54" s="18" t="str">
        <x:v>https://www.sec.gov/Archives/edgar/data/2012786/000095013124002709/0000950131-24-002709-index.html</x:v>
      </x:c>
      <x:c r="L54" s="18" t="str">
        <x:v>0000950131-24-002707</x:v>
      </x:c>
      <x:c r="M54" s="18" t="str">
        <x:v>https://www.sec.gov/Archives/edgar/data/2012786/000095013124002707/d844185dex991.htm</x:v>
      </x:c>
      <x:c r="N54" s="22"/>
      <x:c r="O54" s="22"/>
      <x:c r="P54" s="22"/>
      <x:c r="Q54" s="18"/>
      <x:c r="R54" s="35"/>
      <x:c r="S54" s="35"/>
      <x:c r="T54" s="18"/>
      <x:c r="U54" s="35"/>
      <x:c r="V54" s="35"/>
      <x:c r="W54" s="18"/>
      <x:c r="X54" s="22"/>
      <x:c r="Y54" s="22"/>
      <x:c r="Z54" s="18"/>
      <x:c r="AA54" s="35"/>
      <x:c r="AB54" s="22"/>
      <x:c r="AC54" s="18"/>
      <x:c r="AD54" s="18"/>
      <x:c r="AE54" s="22" t="n">
        <x:v>42719.76</x:v>
      </x:c>
      <x:c r="AF54" s="18" t="str">
        <x:v>aggregate_net_liquidation_proceeds</x:v>
      </x:c>
      <x:c r="AG54" s="22" t="n">
        <x:v>17111.28</x:v>
      </x:c>
      <x:c r="AH54" s="22" t="n">
        <x:v>25608.48</x:v>
      </x:c>
      <x:c r="AI54" s="18" t="str">
        <x:v>UNRESOLVED</x:v>
      </x:c>
      <x:c r="AJ54" s="18" t="str">
        <x:v>TIED</x:v>
      </x:c>
      <x:c r="AK54" s="18" t="str">
        <x:v>TIED</x:v>
      </x:c>
      <x:c r="AL54" s="18"/>
      <x:c r="AM54" s="18"/>
      <x:c r="AN54" s="18" t="str">
        <x:v>toyota-30-59-60-89-90-119-120-plus</x:v>
      </x:c>
      <x:c r="AO54" s="35"/>
      <x:c r="AP54" s="18"/>
      <x:c r="AQ54" s="18" t="str">
        <x:v>recovery_comparator_delta</x:v>
      </x:c>
      <x:c r="AR54" s="18" t="str">
        <x:v>UNRESOLVED</x:v>
      </x:c>
      <x:c r="AS54" s="18" t="str">
        <x:v>No</x:v>
      </x:c>
      <x:c r="AT54" s="18" t="str">
        <x:v>Residual retained; public certificate sources do not attribute this ABS-EE aggregate delta to a timing, population, correction, or classification component.</x:v>
      </x:c>
    </x:row>
    <x:row r="55" ht="32" customHeight="1">
      <x:c r="A55" s="18" t="str">
        <x:v>toyota-2024-b-recovery-v1</x:v>
      </x:c>
      <x:c r="B55" s="18" t="str">
        <x:v>TOYOTA-2024-B</x:v>
      </x:c>
      <x:c r="C55" s="18" t="str">
        <x:v>Toyota Auto Receivables</x:v>
      </x:c>
      <x:c r="D55" s="18" t="str">
        <x:v>2024-06</x:v>
      </x:c>
      <x:c r="E55" s="18" t="str">
        <x:v>2024-06-30</x:v>
      </x:c>
      <x:c r="F55" s="18" t="str">
        <x:v>2024-06-01</x:v>
      </x:c>
      <x:c r="G55" s="18" t="str">
        <x:v>2024-06-30</x:v>
      </x:c>
      <x:c r="H55" s="35" t="n">
        <x:v>30</x:v>
      </x:c>
      <x:c r="I55" s="18" t="str">
        <x:v>2024-07-29</x:v>
      </x:c>
      <x:c r="J55" s="18" t="str">
        <x:v>0000950131-24-003120</x:v>
      </x:c>
      <x:c r="K55" s="18" t="str">
        <x:v>https://www.sec.gov/Archives/edgar/data/2012786/000095013124003120/0000950131-24-003120-index.html</x:v>
      </x:c>
      <x:c r="L55" s="18" t="str">
        <x:v>0000950131-24-003118</x:v>
      </x:c>
      <x:c r="M55" s="18" t="str">
        <x:v>https://www.sec.gov/Archives/edgar/data/2012786/000095013124003118/d862403dex991.htm</x:v>
      </x:c>
      <x:c r="N55" s="22"/>
      <x:c r="O55" s="22"/>
      <x:c r="P55" s="22"/>
      <x:c r="Q55" s="18"/>
      <x:c r="R55" s="35"/>
      <x:c r="S55" s="35"/>
      <x:c r="T55" s="18"/>
      <x:c r="U55" s="35"/>
      <x:c r="V55" s="35"/>
      <x:c r="W55" s="18"/>
      <x:c r="X55" s="22"/>
      <x:c r="Y55" s="22"/>
      <x:c r="Z55" s="18"/>
      <x:c r="AA55" s="35"/>
      <x:c r="AB55" s="22"/>
      <x:c r="AC55" s="18"/>
      <x:c r="AD55" s="18"/>
      <x:c r="AE55" s="22" t="n">
        <x:v>163100.64</x:v>
      </x:c>
      <x:c r="AF55" s="18" t="str">
        <x:v>aggregate_net_liquidation_proceeds</x:v>
      </x:c>
      <x:c r="AG55" s="22" t="n">
        <x:v>151570.32</x:v>
      </x:c>
      <x:c r="AH55" s="22" t="n">
        <x:v>11530.32</x:v>
      </x:c>
      <x:c r="AI55" s="18" t="str">
        <x:v>UNRESOLVED</x:v>
      </x:c>
      <x:c r="AJ55" s="18" t="str">
        <x:v>TIED</x:v>
      </x:c>
      <x:c r="AK55" s="18" t="str">
        <x:v>TIED</x:v>
      </x:c>
      <x:c r="AL55" s="18"/>
      <x:c r="AM55" s="18"/>
      <x:c r="AN55" s="18" t="str">
        <x:v>toyota-30-59-60-89-90-119-120-plus</x:v>
      </x:c>
      <x:c r="AO55" s="35"/>
      <x:c r="AP55" s="18"/>
      <x:c r="AQ55" s="18" t="str">
        <x:v>recovery_comparator_delta</x:v>
      </x:c>
      <x:c r="AR55" s="18" t="str">
        <x:v>UNRESOLVED</x:v>
      </x:c>
      <x:c r="AS55" s="18" t="str">
        <x:v>No</x:v>
      </x:c>
      <x:c r="AT55" s="18" t="str">
        <x:v>Residual retained; public certificate sources do not attribute this ABS-EE aggregate delta to a timing, population, correction, or classification component.</x:v>
      </x:c>
    </x:row>
    <x:row r="56" ht="32" customHeight="1">
      <x:c r="A56" s="18" t="str">
        <x:v>toyota-2024-b-recovery-v1</x:v>
      </x:c>
      <x:c r="B56" s="18" t="str">
        <x:v>TOYOTA-2024-B</x:v>
      </x:c>
      <x:c r="C56" s="18" t="str">
        <x:v>Toyota Auto Receivables</x:v>
      </x:c>
      <x:c r="D56" s="18" t="str">
        <x:v>2024-07</x:v>
      </x:c>
      <x:c r="E56" s="18" t="str">
        <x:v>2024-07-31</x:v>
      </x:c>
      <x:c r="F56" s="18" t="str">
        <x:v>2024-07-01</x:v>
      </x:c>
      <x:c r="G56" s="18" t="str">
        <x:v>2024-07-31</x:v>
      </x:c>
      <x:c r="H56" s="35" t="n">
        <x:v>31</x:v>
      </x:c>
      <x:c r="I56" s="18" t="str">
        <x:v>2024-08-28</x:v>
      </x:c>
      <x:c r="J56" s="18" t="str">
        <x:v>0000950131-24-003567</x:v>
      </x:c>
      <x:c r="K56" s="18" t="str">
        <x:v>https://www.sec.gov/Archives/edgar/data/2012786/000095013124003567/0000950131-24-003567-index.html</x:v>
      </x:c>
      <x:c r="L56" s="18" t="str">
        <x:v>0000950131-24-003564</x:v>
      </x:c>
      <x:c r="M56" s="18" t="str">
        <x:v>https://www.sec.gov/Archives/edgar/data/2012786/000095013124003564/d878689dex991.htm</x:v>
      </x:c>
      <x:c r="N56" s="22"/>
      <x:c r="O56" s="22"/>
      <x:c r="P56" s="22"/>
      <x:c r="Q56" s="18"/>
      <x:c r="R56" s="35"/>
      <x:c r="S56" s="35"/>
      <x:c r="T56" s="18"/>
      <x:c r="U56" s="35"/>
      <x:c r="V56" s="35"/>
      <x:c r="W56" s="18"/>
      <x:c r="X56" s="22"/>
      <x:c r="Y56" s="22"/>
      <x:c r="Z56" s="18"/>
      <x:c r="AA56" s="35"/>
      <x:c r="AB56" s="22"/>
      <x:c r="AC56" s="18"/>
      <x:c r="AD56" s="18"/>
      <x:c r="AE56" s="22" t="n">
        <x:v>270423.02</x:v>
      </x:c>
      <x:c r="AF56" s="18" t="str">
        <x:v>aggregate_net_liquidation_proceeds</x:v>
      </x:c>
      <x:c r="AG56" s="22" t="n">
        <x:v>253803.62</x:v>
      </x:c>
      <x:c r="AH56" s="22" t="n">
        <x:v>16619.4</x:v>
      </x:c>
      <x:c r="AI56" s="18" t="str">
        <x:v>UNRESOLVED</x:v>
      </x:c>
      <x:c r="AJ56" s="18" t="str">
        <x:v>TIED</x:v>
      </x:c>
      <x:c r="AK56" s="18" t="str">
        <x:v>TIED</x:v>
      </x:c>
      <x:c r="AL56" s="18"/>
      <x:c r="AM56" s="18"/>
      <x:c r="AN56" s="18" t="str">
        <x:v>toyota-30-59-60-89-90-119-120-plus</x:v>
      </x:c>
      <x:c r="AO56" s="35"/>
      <x:c r="AP56" s="18"/>
      <x:c r="AQ56" s="18" t="str">
        <x:v>recovery_comparator_delta</x:v>
      </x:c>
      <x:c r="AR56" s="18" t="str">
        <x:v>UNRESOLVED</x:v>
      </x:c>
      <x:c r="AS56" s="18" t="str">
        <x:v>No</x:v>
      </x:c>
      <x:c r="AT56" s="18" t="str">
        <x:v>Residual retained; public certificate sources do not attribute this ABS-EE aggregate delta to a timing, population, correction, or classification component.</x:v>
      </x:c>
    </x:row>
    <x:row r="57" ht="32" customHeight="1">
      <x:c r="A57" s="18" t="str">
        <x:v>toyota-2024-b-recovery-v1</x:v>
      </x:c>
      <x:c r="B57" s="18" t="str">
        <x:v>TOYOTA-2024-B</x:v>
      </x:c>
      <x:c r="C57" s="18" t="str">
        <x:v>Toyota Auto Receivables</x:v>
      </x:c>
      <x:c r="D57" s="18" t="str">
        <x:v>2024-08</x:v>
      </x:c>
      <x:c r="E57" s="18" t="str">
        <x:v>2024-08-31</x:v>
      </x:c>
      <x:c r="F57" s="18" t="str">
        <x:v>2024-08-01</x:v>
      </x:c>
      <x:c r="G57" s="18" t="str">
        <x:v>2024-08-31</x:v>
      </x:c>
      <x:c r="H57" s="35" t="n">
        <x:v>31</x:v>
      </x:c>
      <x:c r="I57" s="18" t="str">
        <x:v>2024-09-26</x:v>
      </x:c>
      <x:c r="J57" s="18" t="str">
        <x:v>0000950131-24-003954</x:v>
      </x:c>
      <x:c r="K57" s="18" t="str">
        <x:v>https://www.sec.gov/Archives/edgar/data/2012786/000095013124003954/0000950131-24-003954-index.html</x:v>
      </x:c>
      <x:c r="L57" s="18" t="str">
        <x:v>0000950131-24-003950</x:v>
      </x:c>
      <x:c r="M57" s="18" t="str">
        <x:v>https://www.sec.gov/Archives/edgar/data/2012786/000095013124003950/d857138dex991.htm</x:v>
      </x:c>
      <x:c r="N57" s="22"/>
      <x:c r="O57" s="22"/>
      <x:c r="P57" s="22"/>
      <x:c r="Q57" s="18"/>
      <x:c r="R57" s="35"/>
      <x:c r="S57" s="35"/>
      <x:c r="T57" s="18"/>
      <x:c r="U57" s="35"/>
      <x:c r="V57" s="35"/>
      <x:c r="W57" s="18"/>
      <x:c r="X57" s="22"/>
      <x:c r="Y57" s="22"/>
      <x:c r="Z57" s="18"/>
      <x:c r="AA57" s="35"/>
      <x:c r="AB57" s="22"/>
      <x:c r="AC57" s="18"/>
      <x:c r="AD57" s="18"/>
      <x:c r="AE57" s="22" t="n">
        <x:v>260590.3</x:v>
      </x:c>
      <x:c r="AF57" s="18" t="str">
        <x:v>aggregate_net_liquidation_proceeds</x:v>
      </x:c>
      <x:c r="AG57" s="22" t="n">
        <x:v>179909.12</x:v>
      </x:c>
      <x:c r="AH57" s="22" t="n">
        <x:v>80681.18</x:v>
      </x:c>
      <x:c r="AI57" s="18" t="str">
        <x:v>UNRESOLVED</x:v>
      </x:c>
      <x:c r="AJ57" s="18" t="str">
        <x:v>TIED</x:v>
      </x:c>
      <x:c r="AK57" s="18" t="str">
        <x:v>TIED</x:v>
      </x:c>
      <x:c r="AL57" s="18"/>
      <x:c r="AM57" s="18"/>
      <x:c r="AN57" s="18" t="str">
        <x:v>toyota-30-59-60-89-90-119-120-plus</x:v>
      </x:c>
      <x:c r="AO57" s="35"/>
      <x:c r="AP57" s="18"/>
      <x:c r="AQ57" s="18" t="str">
        <x:v>recovery_comparator_delta</x:v>
      </x:c>
      <x:c r="AR57" s="18" t="str">
        <x:v>UNRESOLVED</x:v>
      </x:c>
      <x:c r="AS57" s="18" t="str">
        <x:v>No</x:v>
      </x:c>
      <x:c r="AT57" s="18" t="str">
        <x:v>Residual retained; public certificate sources do not attribute this ABS-EE aggregate delta to a timing, population, correction, or classification component.</x:v>
      </x:c>
    </x:row>
    <x:row r="58" ht="32" customHeight="1">
      <x:c r="A58" s="18" t="str">
        <x:v>toyota-2024-b-recovery-v1</x:v>
      </x:c>
      <x:c r="B58" s="18" t="str">
        <x:v>TOYOTA-2024-B</x:v>
      </x:c>
      <x:c r="C58" s="18" t="str">
        <x:v>Toyota Auto Receivables</x:v>
      </x:c>
      <x:c r="D58" s="18" t="str">
        <x:v>2024-09</x:v>
      </x:c>
      <x:c r="E58" s="18" t="str">
        <x:v>2024-09-30</x:v>
      </x:c>
      <x:c r="F58" s="18" t="str">
        <x:v>2024-09-01</x:v>
      </x:c>
      <x:c r="G58" s="18" t="str">
        <x:v>2024-09-30</x:v>
      </x:c>
      <x:c r="H58" s="35" t="n">
        <x:v>30</x:v>
      </x:c>
      <x:c r="I58" s="18" t="str">
        <x:v>2024-10-29</x:v>
      </x:c>
      <x:c r="J58" s="18" t="str">
        <x:v>0000950131-24-004381</x:v>
      </x:c>
      <x:c r="K58" s="18" t="str">
        <x:v>https://www.sec.gov/Archives/edgar/data/2012786/000095013124004381/0000950131-24-004381-index.html</x:v>
      </x:c>
      <x:c r="L58" s="18" t="str">
        <x:v>0000950131-24-004376</x:v>
      </x:c>
      <x:c r="M58" s="18" t="str">
        <x:v>https://www.sec.gov/Archives/edgar/data/2012786/000095013124004376/d843466dex991.htm</x:v>
      </x:c>
      <x:c r="N58" s="22"/>
      <x:c r="O58" s="22"/>
      <x:c r="P58" s="22"/>
      <x:c r="Q58" s="18"/>
      <x:c r="R58" s="35"/>
      <x:c r="S58" s="35"/>
      <x:c r="T58" s="18"/>
      <x:c r="U58" s="35"/>
      <x:c r="V58" s="35"/>
      <x:c r="W58" s="18"/>
      <x:c r="X58" s="22"/>
      <x:c r="Y58" s="22"/>
      <x:c r="Z58" s="18"/>
      <x:c r="AA58" s="35"/>
      <x:c r="AB58" s="22"/>
      <x:c r="AC58" s="18"/>
      <x:c r="AD58" s="18"/>
      <x:c r="AE58" s="22" t="n">
        <x:v>416807.4</x:v>
      </x:c>
      <x:c r="AF58" s="18" t="str">
        <x:v>aggregate_net_liquidation_proceeds</x:v>
      </x:c>
      <x:c r="AG58" s="22" t="n">
        <x:v>361688.02</x:v>
      </x:c>
      <x:c r="AH58" s="22" t="n">
        <x:v>55119.38</x:v>
      </x:c>
      <x:c r="AI58" s="18" t="str">
        <x:v>UNRESOLVED</x:v>
      </x:c>
      <x:c r="AJ58" s="18" t="str">
        <x:v>TIED</x:v>
      </x:c>
      <x:c r="AK58" s="18" t="str">
        <x:v>TIED</x:v>
      </x:c>
      <x:c r="AL58" s="18"/>
      <x:c r="AM58" s="18"/>
      <x:c r="AN58" s="18" t="str">
        <x:v>toyota-30-59-60-89-90-119-120-plus</x:v>
      </x:c>
      <x:c r="AO58" s="35"/>
      <x:c r="AP58" s="18"/>
      <x:c r="AQ58" s="18" t="str">
        <x:v>recovery_comparator_delta</x:v>
      </x:c>
      <x:c r="AR58" s="18" t="str">
        <x:v>UNRESOLVED</x:v>
      </x:c>
      <x:c r="AS58" s="18" t="str">
        <x:v>No</x:v>
      </x:c>
      <x:c r="AT58" s="18" t="str">
        <x:v>Residual retained; public certificate sources do not attribute this ABS-EE aggregate delta to a timing, population, correction, or classification component.</x:v>
      </x:c>
    </x:row>
    <x:row r="59" ht="32" customHeight="1">
      <x:c r="A59" s="18" t="str">
        <x:v>toyota-2024-b-recovery-v1</x:v>
      </x:c>
      <x:c r="B59" s="18" t="str">
        <x:v>TOYOTA-2024-B</x:v>
      </x:c>
      <x:c r="C59" s="18" t="str">
        <x:v>Toyota Auto Receivables</x:v>
      </x:c>
      <x:c r="D59" s="18" t="str">
        <x:v>2024-10</x:v>
      </x:c>
      <x:c r="E59" s="18" t="str">
        <x:v>2024-10-31</x:v>
      </x:c>
      <x:c r="F59" s="18" t="str">
        <x:v>2024-10-01</x:v>
      </x:c>
      <x:c r="G59" s="18" t="str">
        <x:v>2024-10-31</x:v>
      </x:c>
      <x:c r="H59" s="35" t="n">
        <x:v>31</x:v>
      </x:c>
      <x:c r="I59" s="18" t="str">
        <x:v>2024-11-26</x:v>
      </x:c>
      <x:c r="J59" s="18" t="str">
        <x:v>0000950131-24-004781</x:v>
      </x:c>
      <x:c r="K59" s="18" t="str">
        <x:v>https://www.sec.gov/Archives/edgar/data/2012786/000095013124004781/0000950131-24-004781-index.html</x:v>
      </x:c>
      <x:c r="L59" s="18" t="str">
        <x:v>0000950131-24-004777</x:v>
      </x:c>
      <x:c r="M59" s="18" t="str">
        <x:v>https://www.sec.gov/Archives/edgar/data/2012786/000095013124004777/d896288dex991.htm</x:v>
      </x:c>
      <x:c r="N59" s="22"/>
      <x:c r="O59" s="22"/>
      <x:c r="P59" s="22"/>
      <x:c r="Q59" s="18"/>
      <x:c r="R59" s="35"/>
      <x:c r="S59" s="35"/>
      <x:c r="T59" s="18"/>
      <x:c r="U59" s="35"/>
      <x:c r="V59" s="35"/>
      <x:c r="W59" s="18"/>
      <x:c r="X59" s="22"/>
      <x:c r="Y59" s="22"/>
      <x:c r="Z59" s="18"/>
      <x:c r="AA59" s="35"/>
      <x:c r="AB59" s="22"/>
      <x:c r="AC59" s="18"/>
      <x:c r="AD59" s="18"/>
      <x:c r="AE59" s="22" t="n">
        <x:v>928039.68</x:v>
      </x:c>
      <x:c r="AF59" s="18" t="str">
        <x:v>aggregate_net_liquidation_proceeds</x:v>
      </x:c>
      <x:c r="AG59" s="22" t="n">
        <x:v>892355.14</x:v>
      </x:c>
      <x:c r="AH59" s="22" t="n">
        <x:v>35684.54</x:v>
      </x:c>
      <x:c r="AI59" s="18" t="str">
        <x:v>UNRESOLVED</x:v>
      </x:c>
      <x:c r="AJ59" s="18" t="str">
        <x:v>TIED</x:v>
      </x:c>
      <x:c r="AK59" s="18" t="str">
        <x:v>TIED</x:v>
      </x:c>
      <x:c r="AL59" s="18"/>
      <x:c r="AM59" s="18"/>
      <x:c r="AN59" s="18" t="str">
        <x:v>toyota-30-59-60-89-90-119-120-plus</x:v>
      </x:c>
      <x:c r="AO59" s="35"/>
      <x:c r="AP59" s="18"/>
      <x:c r="AQ59" s="18" t="str">
        <x:v>recovery_comparator_delta</x:v>
      </x:c>
      <x:c r="AR59" s="18" t="str">
        <x:v>UNRESOLVED</x:v>
      </x:c>
      <x:c r="AS59" s="18" t="str">
        <x:v>No</x:v>
      </x:c>
      <x:c r="AT59" s="18" t="str">
        <x:v>Residual retained; public certificate sources do not attribute this ABS-EE aggregate delta to a timing, population, correction, or classification component.</x:v>
      </x:c>
    </x:row>
    <x:row r="60" ht="32" customHeight="1">
      <x:c r="A60" s="18" t="str">
        <x:v>toyota-2024-b-recovery-v1</x:v>
      </x:c>
      <x:c r="B60" s="18" t="str">
        <x:v>TOYOTA-2024-B</x:v>
      </x:c>
      <x:c r="C60" s="18" t="str">
        <x:v>Toyota Auto Receivables</x:v>
      </x:c>
      <x:c r="D60" s="18" t="str">
        <x:v>2024-11</x:v>
      </x:c>
      <x:c r="E60" s="18" t="str">
        <x:v>2024-11-30</x:v>
      </x:c>
      <x:c r="F60" s="18" t="str">
        <x:v>2024-11-01</x:v>
      </x:c>
      <x:c r="G60" s="18" t="str">
        <x:v>2024-11-30</x:v>
      </x:c>
      <x:c r="H60" s="35" t="n">
        <x:v>30</x:v>
      </x:c>
      <x:c r="I60" s="18" t="str">
        <x:v>2024-12-20</x:v>
      </x:c>
      <x:c r="J60" s="18" t="str">
        <x:v>0000950131-24-005156</x:v>
      </x:c>
      <x:c r="K60" s="18" t="str">
        <x:v>https://www.sec.gov/Archives/edgar/data/2012786/000095013124005156/0000950131-24-005156-index.html</x:v>
      </x:c>
      <x:c r="L60" s="18" t="str">
        <x:v>0000950131-24-005152</x:v>
      </x:c>
      <x:c r="M60" s="18" t="str">
        <x:v>https://www.sec.gov/Archives/edgar/data/2012786/000095013124005152/d869874dex991.htm</x:v>
      </x:c>
      <x:c r="N60" s="22"/>
      <x:c r="O60" s="22"/>
      <x:c r="P60" s="22"/>
      <x:c r="Q60" s="18"/>
      <x:c r="R60" s="35"/>
      <x:c r="S60" s="35"/>
      <x:c r="T60" s="18"/>
      <x:c r="U60" s="35"/>
      <x:c r="V60" s="35"/>
      <x:c r="W60" s="18"/>
      <x:c r="X60" s="22"/>
      <x:c r="Y60" s="22"/>
      <x:c r="Z60" s="18"/>
      <x:c r="AA60" s="35"/>
      <x:c r="AB60" s="22"/>
      <x:c r="AC60" s="18"/>
      <x:c r="AD60" s="18"/>
      <x:c r="AE60" s="22" t="n">
        <x:v>608634.54</x:v>
      </x:c>
      <x:c r="AF60" s="18" t="str">
        <x:v>aggregate_net_liquidation_proceeds</x:v>
      </x:c>
      <x:c r="AG60" s="22" t="n">
        <x:v>500551.5</x:v>
      </x:c>
      <x:c r="AH60" s="22" t="n">
        <x:v>108083.04</x:v>
      </x:c>
      <x:c r="AI60" s="18" t="str">
        <x:v>UNRESOLVED</x:v>
      </x:c>
      <x:c r="AJ60" s="18" t="str">
        <x:v>TIED</x:v>
      </x:c>
      <x:c r="AK60" s="18" t="str">
        <x:v>TIED</x:v>
      </x:c>
      <x:c r="AL60" s="18"/>
      <x:c r="AM60" s="18"/>
      <x:c r="AN60" s="18" t="str">
        <x:v>toyota-30-59-60-89-90-119-120-plus</x:v>
      </x:c>
      <x:c r="AO60" s="35"/>
      <x:c r="AP60" s="18"/>
      <x:c r="AQ60" s="18" t="str">
        <x:v>recovery_comparator_delta</x:v>
      </x:c>
      <x:c r="AR60" s="18" t="str">
        <x:v>UNRESOLVED</x:v>
      </x:c>
      <x:c r="AS60" s="18" t="str">
        <x:v>No</x:v>
      </x:c>
      <x:c r="AT60" s="18" t="str">
        <x:v>Residual retained; public certificate sources do not attribute this ABS-EE aggregate delta to a timing, population, correction, or classification component.</x:v>
      </x:c>
    </x:row>
    <x:row r="61" ht="32" customHeight="1">
      <x:c r="A61" s="18" t="str">
        <x:v>toyota-2024-b-recovery-v1</x:v>
      </x:c>
      <x:c r="B61" s="18" t="str">
        <x:v>TOYOTA-2024-B</x:v>
      </x:c>
      <x:c r="C61" s="18" t="str">
        <x:v>Toyota Auto Receivables</x:v>
      </x:c>
      <x:c r="D61" s="18" t="str">
        <x:v>2024-12</x:v>
      </x:c>
      <x:c r="E61" s="18" t="str">
        <x:v>2024-12-31</x:v>
      </x:c>
      <x:c r="F61" s="18" t="str">
        <x:v>2024-12-01</x:v>
      </x:c>
      <x:c r="G61" s="18" t="str">
        <x:v>2024-12-31</x:v>
      </x:c>
      <x:c r="H61" s="35" t="n">
        <x:v>31</x:v>
      </x:c>
      <x:c r="I61" s="18" t="str">
        <x:v>2025-01-29</x:v>
      </x:c>
      <x:c r="J61" s="18" t="str">
        <x:v>0000950131-25-000462</x:v>
      </x:c>
      <x:c r="K61" s="18" t="str">
        <x:v>https://www.sec.gov/Archives/edgar/data/2012786/000095013125000462/0000950131-25-000462-index.html</x:v>
      </x:c>
      <x:c r="L61" s="18" t="str">
        <x:v>0000950131-25-000458</x:v>
      </x:c>
      <x:c r="M61" s="18" t="str">
        <x:v>https://www.sec.gov/Archives/edgar/data/2012786/000095013125000458/d922216dex991.htm</x:v>
      </x:c>
      <x:c r="N61" s="22"/>
      <x:c r="O61" s="22"/>
      <x:c r="P61" s="22"/>
      <x:c r="Q61" s="18"/>
      <x:c r="R61" s="35"/>
      <x:c r="S61" s="35"/>
      <x:c r="T61" s="18"/>
      <x:c r="U61" s="35"/>
      <x:c r="V61" s="35"/>
      <x:c r="W61" s="18"/>
      <x:c r="X61" s="22"/>
      <x:c r="Y61" s="22"/>
      <x:c r="Z61" s="18"/>
      <x:c r="AA61" s="35"/>
      <x:c r="AB61" s="22"/>
      <x:c r="AC61" s="18"/>
      <x:c r="AD61" s="18"/>
      <x:c r="AE61" s="22" t="n">
        <x:v>596578.35</x:v>
      </x:c>
      <x:c r="AF61" s="18" t="str">
        <x:v>aggregate_net_liquidation_proceeds</x:v>
      </x:c>
      <x:c r="AG61" s="22" t="n">
        <x:v>516812.67</x:v>
      </x:c>
      <x:c r="AH61" s="22" t="n">
        <x:v>79765.68</x:v>
      </x:c>
      <x:c r="AI61" s="18" t="str">
        <x:v>UNRESOLVED</x:v>
      </x:c>
      <x:c r="AJ61" s="18" t="str">
        <x:v>TIED</x:v>
      </x:c>
      <x:c r="AK61" s="18" t="str">
        <x:v>TIED</x:v>
      </x:c>
      <x:c r="AL61" s="18"/>
      <x:c r="AM61" s="18"/>
      <x:c r="AN61" s="18" t="str">
        <x:v>toyota-30-59-60-89-90-119-120-plus</x:v>
      </x:c>
      <x:c r="AO61" s="35"/>
      <x:c r="AP61" s="18"/>
      <x:c r="AQ61" s="18" t="str">
        <x:v>recovery_comparator_delta</x:v>
      </x:c>
      <x:c r="AR61" s="18" t="str">
        <x:v>UNRESOLVED</x:v>
      </x:c>
      <x:c r="AS61" s="18" t="str">
        <x:v>No</x:v>
      </x:c>
      <x:c r="AT61" s="18" t="str">
        <x:v>Residual retained; public certificate sources do not attribute this ABS-EE aggregate delta to a timing, population, correction, or classification component.</x:v>
      </x:c>
    </x:row>
    <x:row r="62" ht="32" customHeight="1">
      <x:c r="A62" s="18" t="str">
        <x:v>toyota-2024-b-recovery-v1</x:v>
      </x:c>
      <x:c r="B62" s="18" t="str">
        <x:v>TOYOTA-2024-B</x:v>
      </x:c>
      <x:c r="C62" s="18" t="str">
        <x:v>Toyota Auto Receivables</x:v>
      </x:c>
      <x:c r="D62" s="18" t="str">
        <x:v>2025-01</x:v>
      </x:c>
      <x:c r="E62" s="18" t="str">
        <x:v>2025-01-31</x:v>
      </x:c>
      <x:c r="F62" s="18" t="str">
        <x:v>2025-01-01</x:v>
      </x:c>
      <x:c r="G62" s="18" t="str">
        <x:v>2025-01-31</x:v>
      </x:c>
      <x:c r="H62" s="35" t="n">
        <x:v>31</x:v>
      </x:c>
      <x:c r="I62" s="18" t="str">
        <x:v>2025-02-26</x:v>
      </x:c>
      <x:c r="J62" s="18" t="str">
        <x:v>0000950131-25-000883</x:v>
      </x:c>
      <x:c r="K62" s="18" t="str">
        <x:v>https://www.sec.gov/Archives/edgar/data/2012786/000095013125000883/0000950131-25-000883-index.html</x:v>
      </x:c>
      <x:c r="L62" s="18" t="str">
        <x:v>0000950131-25-000878</x:v>
      </x:c>
      <x:c r="M62" s="18" t="str">
        <x:v>https://www.sec.gov/Archives/edgar/data/2012786/000095013125000878/d860811dex991.htm</x:v>
      </x:c>
      <x:c r="N62" s="22"/>
      <x:c r="O62" s="22"/>
      <x:c r="P62" s="22"/>
      <x:c r="Q62" s="18"/>
      <x:c r="R62" s="35"/>
      <x:c r="S62" s="35"/>
      <x:c r="T62" s="18"/>
      <x:c r="U62" s="35"/>
      <x:c r="V62" s="35"/>
      <x:c r="W62" s="18"/>
      <x:c r="X62" s="22"/>
      <x:c r="Y62" s="22"/>
      <x:c r="Z62" s="18"/>
      <x:c r="AA62" s="35"/>
      <x:c r="AB62" s="22"/>
      <x:c r="AC62" s="18"/>
      <x:c r="AD62" s="18"/>
      <x:c r="AE62" s="22" t="n">
        <x:v>640498.46</x:v>
      </x:c>
      <x:c r="AF62" s="18" t="str">
        <x:v>aggregate_net_liquidation_proceeds</x:v>
      </x:c>
      <x:c r="AG62" s="22" t="n">
        <x:v>564320.04</x:v>
      </x:c>
      <x:c r="AH62" s="22" t="n">
        <x:v>76178.42</x:v>
      </x:c>
      <x:c r="AI62" s="18" t="str">
        <x:v>UNRESOLVED</x:v>
      </x:c>
      <x:c r="AJ62" s="18" t="str">
        <x:v>TIED</x:v>
      </x:c>
      <x:c r="AK62" s="18" t="str">
        <x:v>TIED</x:v>
      </x:c>
      <x:c r="AL62" s="18"/>
      <x:c r="AM62" s="18"/>
      <x:c r="AN62" s="18" t="str">
        <x:v>toyota-30-59-60-89-90-119-120-plus</x:v>
      </x:c>
      <x:c r="AO62" s="35"/>
      <x:c r="AP62" s="18"/>
      <x:c r="AQ62" s="18" t="str">
        <x:v>recovery_comparator_delta</x:v>
      </x:c>
      <x:c r="AR62" s="18" t="str">
        <x:v>UNRESOLVED</x:v>
      </x:c>
      <x:c r="AS62" s="18" t="str">
        <x:v>No</x:v>
      </x:c>
      <x:c r="AT62" s="18" t="str">
        <x:v>Residual retained; public certificate sources do not attribute this ABS-EE aggregate delta to a timing, population, correction, or classification component.</x:v>
      </x:c>
    </x:row>
    <x:row r="63" ht="32" customHeight="1">
      <x:c r="A63" s="18" t="str">
        <x:v>toyota-2024-b-recovery-v1</x:v>
      </x:c>
      <x:c r="B63" s="18" t="str">
        <x:v>TOYOTA-2024-B</x:v>
      </x:c>
      <x:c r="C63" s="18" t="str">
        <x:v>Toyota Auto Receivables</x:v>
      </x:c>
      <x:c r="D63" s="18" t="str">
        <x:v>2025-02</x:v>
      </x:c>
      <x:c r="E63" s="18" t="str">
        <x:v>2025-02-28</x:v>
      </x:c>
      <x:c r="F63" s="18" t="str">
        <x:v>2025-02-01</x:v>
      </x:c>
      <x:c r="G63" s="18" t="str">
        <x:v>2025-02-28</x:v>
      </x:c>
      <x:c r="H63" s="35" t="n">
        <x:v>28</x:v>
      </x:c>
      <x:c r="I63" s="18" t="str">
        <x:v>2025-03-27</x:v>
      </x:c>
      <x:c r="J63" s="18" t="str">
        <x:v>0000950131-25-001345</x:v>
      </x:c>
      <x:c r="K63" s="18" t="str">
        <x:v>https://www.sec.gov/Archives/edgar/data/2012786/000095013125001345/0000950131-25-001345-index.html</x:v>
      </x:c>
      <x:c r="L63" s="18" t="str">
        <x:v>0000950131-25-001341</x:v>
      </x:c>
      <x:c r="M63" s="18" t="str">
        <x:v>https://www.sec.gov/Archives/edgar/data/2012786/000095013125001341/d904636dex991.htm</x:v>
      </x:c>
      <x:c r="N63" s="22"/>
      <x:c r="O63" s="22"/>
      <x:c r="P63" s="22"/>
      <x:c r="Q63" s="18"/>
      <x:c r="R63" s="35"/>
      <x:c r="S63" s="35"/>
      <x:c r="T63" s="18"/>
      <x:c r="U63" s="35"/>
      <x:c r="V63" s="35"/>
      <x:c r="W63" s="18"/>
      <x:c r="X63" s="22"/>
      <x:c r="Y63" s="22"/>
      <x:c r="Z63" s="18"/>
      <x:c r="AA63" s="35"/>
      <x:c r="AB63" s="22"/>
      <x:c r="AC63" s="18"/>
      <x:c r="AD63" s="18"/>
      <x:c r="AE63" s="22" t="n">
        <x:v>576544.95</x:v>
      </x:c>
      <x:c r="AF63" s="18" t="str">
        <x:v>aggregate_net_liquidation_proceeds</x:v>
      </x:c>
      <x:c r="AG63" s="22" t="n">
        <x:v>526444.01</x:v>
      </x:c>
      <x:c r="AH63" s="22" t="n">
        <x:v>50100.94</x:v>
      </x:c>
      <x:c r="AI63" s="18" t="str">
        <x:v>UNRESOLVED</x:v>
      </x:c>
      <x:c r="AJ63" s="18" t="str">
        <x:v>TIED</x:v>
      </x:c>
      <x:c r="AK63" s="18" t="str">
        <x:v>TIED</x:v>
      </x:c>
      <x:c r="AL63" s="18"/>
      <x:c r="AM63" s="18"/>
      <x:c r="AN63" s="18" t="str">
        <x:v>toyota-30-59-60-89-90-119-120-plus</x:v>
      </x:c>
      <x:c r="AO63" s="35"/>
      <x:c r="AP63" s="18"/>
      <x:c r="AQ63" s="18" t="str">
        <x:v>recovery_comparator_delta</x:v>
      </x:c>
      <x:c r="AR63" s="18" t="str">
        <x:v>UNRESOLVED</x:v>
      </x:c>
      <x:c r="AS63" s="18" t="str">
        <x:v>No</x:v>
      </x:c>
      <x:c r="AT63" s="18" t="str">
        <x:v>Residual retained; public certificate sources do not attribute this ABS-EE aggregate delta to a timing, population, correction, or classification component.</x:v>
      </x:c>
    </x:row>
    <x:row r="64" ht="32" customHeight="1">
      <x:c r="A64" s="18" t="str">
        <x:v>toyota-2024-b-recovery-v1</x:v>
      </x:c>
      <x:c r="B64" s="18" t="str">
        <x:v>TOYOTA-2024-B</x:v>
      </x:c>
      <x:c r="C64" s="18" t="str">
        <x:v>Toyota Auto Receivables</x:v>
      </x:c>
      <x:c r="D64" s="18" t="str">
        <x:v>2025-03</x:v>
      </x:c>
      <x:c r="E64" s="18" t="str">
        <x:v>2025-03-31</x:v>
      </x:c>
      <x:c r="F64" s="18" t="str">
        <x:v>2025-03-01</x:v>
      </x:c>
      <x:c r="G64" s="18" t="str">
        <x:v>2025-03-31</x:v>
      </x:c>
      <x:c r="H64" s="35" t="n">
        <x:v>31</x:v>
      </x:c>
      <x:c r="I64" s="18" t="str">
        <x:v>2025-04-28</x:v>
      </x:c>
      <x:c r="J64" s="18" t="str">
        <x:v>0000950131-25-001820</x:v>
      </x:c>
      <x:c r="K64" s="18" t="str">
        <x:v>https://www.sec.gov/Archives/edgar/data/2012786/000095013125001820/0000950131-25-001820-index.html</x:v>
      </x:c>
      <x:c r="L64" s="18" t="str">
        <x:v>0000950131-25-001816</x:v>
      </x:c>
      <x:c r="M64" s="18" t="str">
        <x:v>https://www.sec.gov/Archives/edgar/data/2012786/000095013125001816/d922628dex991.htm</x:v>
      </x:c>
      <x:c r="N64" s="22"/>
      <x:c r="O64" s="22"/>
      <x:c r="P64" s="22"/>
      <x:c r="Q64" s="18"/>
      <x:c r="R64" s="35"/>
      <x:c r="S64" s="35"/>
      <x:c r="T64" s="18"/>
      <x:c r="U64" s="35"/>
      <x:c r="V64" s="35"/>
      <x:c r="W64" s="18"/>
      <x:c r="X64" s="22"/>
      <x:c r="Y64" s="22"/>
      <x:c r="Z64" s="18"/>
      <x:c r="AA64" s="35"/>
      <x:c r="AB64" s="22"/>
      <x:c r="AC64" s="18"/>
      <x:c r="AD64" s="18"/>
      <x:c r="AE64" s="22" t="n">
        <x:v>936438.19</x:v>
      </x:c>
      <x:c r="AF64" s="18" t="str">
        <x:v>aggregate_net_liquidation_proceeds</x:v>
      </x:c>
      <x:c r="AG64" s="22" t="n">
        <x:v>846295.05</x:v>
      </x:c>
      <x:c r="AH64" s="22" t="n">
        <x:v>90143.14</x:v>
      </x:c>
      <x:c r="AI64" s="18" t="str">
        <x:v>UNRESOLVED</x:v>
      </x:c>
      <x:c r="AJ64" s="18" t="str">
        <x:v>TIED</x:v>
      </x:c>
      <x:c r="AK64" s="18" t="str">
        <x:v>TIED</x:v>
      </x:c>
      <x:c r="AL64" s="18"/>
      <x:c r="AM64" s="18"/>
      <x:c r="AN64" s="18" t="str">
        <x:v>toyota-30-59-60-89-90-119-120-plus</x:v>
      </x:c>
      <x:c r="AO64" s="35"/>
      <x:c r="AP64" s="18"/>
      <x:c r="AQ64" s="18" t="str">
        <x:v>recovery_comparator_delta</x:v>
      </x:c>
      <x:c r="AR64" s="18" t="str">
        <x:v>UNRESOLVED</x:v>
      </x:c>
      <x:c r="AS64" s="18" t="str">
        <x:v>No</x:v>
      </x:c>
      <x:c r="AT64" s="18" t="str">
        <x:v>Residual retained; public certificate sources do not attribute this ABS-EE aggregate delta to a timing, population, correction, or classification component.</x:v>
      </x:c>
    </x:row>
    <x:row r="65" ht="32" customHeight="1">
      <x:c r="A65" s="18" t="str">
        <x:v>toyota-2024-b-recovery-v1</x:v>
      </x:c>
      <x:c r="B65" s="18" t="str">
        <x:v>TOYOTA-2024-B</x:v>
      </x:c>
      <x:c r="C65" s="18" t="str">
        <x:v>Toyota Auto Receivables</x:v>
      </x:c>
      <x:c r="D65" s="18" t="str">
        <x:v>2025-04</x:v>
      </x:c>
      <x:c r="E65" s="18" t="str">
        <x:v>2025-04-30</x:v>
      </x:c>
      <x:c r="F65" s="18" t="str">
        <x:v>2025-04-01</x:v>
      </x:c>
      <x:c r="G65" s="18" t="str">
        <x:v>2025-04-30</x:v>
      </x:c>
      <x:c r="H65" s="35" t="n">
        <x:v>30</x:v>
      </x:c>
      <x:c r="I65" s="18" t="str">
        <x:v>2025-05-28</x:v>
      </x:c>
      <x:c r="J65" s="18" t="str">
        <x:v>0000950131-25-002271</x:v>
      </x:c>
      <x:c r="K65" s="18" t="str">
        <x:v>https://www.sec.gov/Archives/edgar/data/2012786/000095013125002271/0000950131-25-002271-index.html</x:v>
      </x:c>
      <x:c r="L65" s="18" t="str">
        <x:v>0000950131-25-002267</x:v>
      </x:c>
      <x:c r="M65" s="18" t="str">
        <x:v>https://www.sec.gov/Archives/edgar/data/2012786/000095013125002267/d923232dex991.htm</x:v>
      </x:c>
      <x:c r="N65" s="22"/>
      <x:c r="O65" s="22"/>
      <x:c r="P65" s="22"/>
      <x:c r="Q65" s="18"/>
      <x:c r="R65" s="35"/>
      <x:c r="S65" s="35"/>
      <x:c r="T65" s="18"/>
      <x:c r="U65" s="35"/>
      <x:c r="V65" s="35"/>
      <x:c r="W65" s="18"/>
      <x:c r="X65" s="22"/>
      <x:c r="Y65" s="22"/>
      <x:c r="Z65" s="18"/>
      <x:c r="AA65" s="35"/>
      <x:c r="AB65" s="22"/>
      <x:c r="AC65" s="18"/>
      <x:c r="AD65" s="18"/>
      <x:c r="AE65" s="22" t="n">
        <x:v>834540.77</x:v>
      </x:c>
      <x:c r="AF65" s="18" t="str">
        <x:v>aggregate_net_liquidation_proceeds</x:v>
      </x:c>
      <x:c r="AG65" s="22" t="n">
        <x:v>682834.17</x:v>
      </x:c>
      <x:c r="AH65" s="22" t="n">
        <x:v>151706.6</x:v>
      </x:c>
      <x:c r="AI65" s="18" t="str">
        <x:v>UNRESOLVED</x:v>
      </x:c>
      <x:c r="AJ65" s="18" t="str">
        <x:v>TIED</x:v>
      </x:c>
      <x:c r="AK65" s="18" t="str">
        <x:v>TIED</x:v>
      </x:c>
      <x:c r="AL65" s="18"/>
      <x:c r="AM65" s="18"/>
      <x:c r="AN65" s="18" t="str">
        <x:v>toyota-30-59-60-89-90-119-120-plus</x:v>
      </x:c>
      <x:c r="AO65" s="35"/>
      <x:c r="AP65" s="18"/>
      <x:c r="AQ65" s="18" t="str">
        <x:v>recovery_comparator_delta</x:v>
      </x:c>
      <x:c r="AR65" s="18" t="str">
        <x:v>UNRESOLVED</x:v>
      </x:c>
      <x:c r="AS65" s="18" t="str">
        <x:v>No</x:v>
      </x:c>
      <x:c r="AT65" s="18" t="str">
        <x:v>Residual retained; public certificate sources do not attribute this ABS-EE aggregate delta to a timing, population, correction, or classification component.</x:v>
      </x:c>
    </x:row>
    <x:row r="66" ht="32" customHeight="1">
      <x:c r="A66" s="18" t="str">
        <x:v>toyota-2024-b-recovery-v1</x:v>
      </x:c>
      <x:c r="B66" s="18" t="str">
        <x:v>TOYOTA-2024-B</x:v>
      </x:c>
      <x:c r="C66" s="18" t="str">
        <x:v>Toyota Auto Receivables</x:v>
      </x:c>
      <x:c r="D66" s="18" t="str">
        <x:v>2025-05</x:v>
      </x:c>
      <x:c r="E66" s="18" t="str">
        <x:v>2025-05-31</x:v>
      </x:c>
      <x:c r="F66" s="18" t="str">
        <x:v>2025-05-01</x:v>
      </x:c>
      <x:c r="G66" s="18" t="str">
        <x:v>2025-05-31</x:v>
      </x:c>
      <x:c r="H66" s="35" t="n">
        <x:v>31</x:v>
      </x:c>
      <x:c r="I66" s="18" t="str">
        <x:v>2025-06-26</x:v>
      </x:c>
      <x:c r="J66" s="18" t="str">
        <x:v>0000950131-25-002669</x:v>
      </x:c>
      <x:c r="K66" s="18" t="str">
        <x:v>https://www.sec.gov/Archives/edgar/data/2012786/000095013125002669/0000950131-25-002669-index.html</x:v>
      </x:c>
      <x:c r="L66" s="18" t="str">
        <x:v>0000950131-25-002665</x:v>
      </x:c>
      <x:c r="M66" s="18" t="str">
        <x:v>https://www.sec.gov/Archives/edgar/data/2012786/000095013125002665/d39974dex991.htm</x:v>
      </x:c>
      <x:c r="N66" s="22"/>
      <x:c r="O66" s="22"/>
      <x:c r="P66" s="22"/>
      <x:c r="Q66" s="18"/>
      <x:c r="R66" s="35"/>
      <x:c r="S66" s="35"/>
      <x:c r="T66" s="18"/>
      <x:c r="U66" s="35"/>
      <x:c r="V66" s="35"/>
      <x:c r="W66" s="18"/>
      <x:c r="X66" s="22"/>
      <x:c r="Y66" s="22"/>
      <x:c r="Z66" s="18"/>
      <x:c r="AA66" s="35"/>
      <x:c r="AB66" s="22"/>
      <x:c r="AC66" s="18"/>
      <x:c r="AD66" s="18"/>
      <x:c r="AE66" s="22" t="n">
        <x:v>600173.25</x:v>
      </x:c>
      <x:c r="AF66" s="18" t="str">
        <x:v>aggregate_net_liquidation_proceeds</x:v>
      </x:c>
      <x:c r="AG66" s="22" t="n">
        <x:v>500236.41</x:v>
      </x:c>
      <x:c r="AH66" s="22" t="n">
        <x:v>99936.84</x:v>
      </x:c>
      <x:c r="AI66" s="18" t="str">
        <x:v>UNRESOLVED</x:v>
      </x:c>
      <x:c r="AJ66" s="18" t="str">
        <x:v>TIED</x:v>
      </x:c>
      <x:c r="AK66" s="18" t="str">
        <x:v>TIED</x:v>
      </x:c>
      <x:c r="AL66" s="18"/>
      <x:c r="AM66" s="18"/>
      <x:c r="AN66" s="18" t="str">
        <x:v>toyota-30-59-60-89-90-119-120-plus</x:v>
      </x:c>
      <x:c r="AO66" s="35"/>
      <x:c r="AP66" s="18"/>
      <x:c r="AQ66" s="18" t="str">
        <x:v>recovery_comparator_delta</x:v>
      </x:c>
      <x:c r="AR66" s="18" t="str">
        <x:v>UNRESOLVED</x:v>
      </x:c>
      <x:c r="AS66" s="18" t="str">
        <x:v>No</x:v>
      </x:c>
      <x:c r="AT66" s="18" t="str">
        <x:v>Residual retained; public certificate sources do not attribute this ABS-EE aggregate delta to a timing, population, correction, or classification component.</x:v>
      </x:c>
    </x:row>
    <x:row r="67" ht="32" customHeight="1">
      <x:c r="A67" s="18" t="str">
        <x:v>toyota-2024-b-recovery-v1</x:v>
      </x:c>
      <x:c r="B67" s="18" t="str">
        <x:v>TOYOTA-2024-B</x:v>
      </x:c>
      <x:c r="C67" s="18" t="str">
        <x:v>Toyota Auto Receivables</x:v>
      </x:c>
      <x:c r="D67" s="18" t="str">
        <x:v>2025-06</x:v>
      </x:c>
      <x:c r="E67" s="18" t="str">
        <x:v>2025-06-30</x:v>
      </x:c>
      <x:c r="F67" s="18" t="str">
        <x:v>2025-06-01</x:v>
      </x:c>
      <x:c r="G67" s="18" t="str">
        <x:v>2025-06-30</x:v>
      </x:c>
      <x:c r="H67" s="35" t="n">
        <x:v>30</x:v>
      </x:c>
      <x:c r="I67" s="18" t="str">
        <x:v>2025-07-29</x:v>
      </x:c>
      <x:c r="J67" s="18" t="str">
        <x:v>0000950131-25-003104</x:v>
      </x:c>
      <x:c r="K67" s="18" t="str">
        <x:v>https://www.sec.gov/Archives/edgar/data/2012786/000095013125003104/0000950131-25-003104-index.html</x:v>
      </x:c>
      <x:c r="L67" s="18" t="str">
        <x:v>0000950131-25-003100</x:v>
      </x:c>
      <x:c r="M67" s="18" t="str">
        <x:v>https://www.sec.gov/Archives/edgar/data/2012786/000095013125003100/d31622dex991.htm</x:v>
      </x:c>
      <x:c r="N67" s="22"/>
      <x:c r="O67" s="22"/>
      <x:c r="P67" s="22"/>
      <x:c r="Q67" s="18"/>
      <x:c r="R67" s="35"/>
      <x:c r="S67" s="35"/>
      <x:c r="T67" s="18"/>
      <x:c r="U67" s="35"/>
      <x:c r="V67" s="35"/>
      <x:c r="W67" s="18"/>
      <x:c r="X67" s="22"/>
      <x:c r="Y67" s="22"/>
      <x:c r="Z67" s="18"/>
      <x:c r="AA67" s="35"/>
      <x:c r="AB67" s="22"/>
      <x:c r="AC67" s="18"/>
      <x:c r="AD67" s="18"/>
      <x:c r="AE67" s="22" t="n">
        <x:v>573690.34</x:v>
      </x:c>
      <x:c r="AF67" s="18" t="str">
        <x:v>aggregate_net_liquidation_proceeds</x:v>
      </x:c>
      <x:c r="AG67" s="22" t="n">
        <x:v>530751.92</x:v>
      </x:c>
      <x:c r="AH67" s="22" t="n">
        <x:v>42938.42</x:v>
      </x:c>
      <x:c r="AI67" s="18" t="str">
        <x:v>UNRESOLVED</x:v>
      </x:c>
      <x:c r="AJ67" s="18" t="str">
        <x:v>TIED</x:v>
      </x:c>
      <x:c r="AK67" s="18" t="str">
        <x:v>TIED</x:v>
      </x:c>
      <x:c r="AL67" s="18"/>
      <x:c r="AM67" s="18"/>
      <x:c r="AN67" s="18" t="str">
        <x:v>toyota-30-59-60-89-90-119-120-plus</x:v>
      </x:c>
      <x:c r="AO67" s="35"/>
      <x:c r="AP67" s="18"/>
      <x:c r="AQ67" s="18" t="str">
        <x:v>recovery_comparator_delta</x:v>
      </x:c>
      <x:c r="AR67" s="18" t="str">
        <x:v>UNRESOLVED</x:v>
      </x:c>
      <x:c r="AS67" s="18" t="str">
        <x:v>No</x:v>
      </x:c>
      <x:c r="AT67" s="18" t="str">
        <x:v>Residual retained; public certificate sources do not attribute this ABS-EE aggregate delta to a timing, population, correction, or classification component.</x:v>
      </x:c>
    </x:row>
    <x:row r="68" ht="32" customHeight="1">
      <x:c r="A68" s="18" t="str">
        <x:v>toyota-2024-b-recovery-v1</x:v>
      </x:c>
      <x:c r="B68" s="18" t="str">
        <x:v>TOYOTA-2024-B</x:v>
      </x:c>
      <x:c r="C68" s="18" t="str">
        <x:v>Toyota Auto Receivables</x:v>
      </x:c>
      <x:c r="D68" s="18" t="str">
        <x:v>2025-07</x:v>
      </x:c>
      <x:c r="E68" s="18" t="str">
        <x:v>2025-07-31</x:v>
      </x:c>
      <x:c r="F68" s="18" t="str">
        <x:v>2025-07-01</x:v>
      </x:c>
      <x:c r="G68" s="18" t="str">
        <x:v>2025-07-31</x:v>
      </x:c>
      <x:c r="H68" s="35" t="n">
        <x:v>31</x:v>
      </x:c>
      <x:c r="I68" s="18" t="str">
        <x:v>2025-08-27</x:v>
      </x:c>
      <x:c r="J68" s="18" t="str">
        <x:v>0000950131-25-003508</x:v>
      </x:c>
      <x:c r="K68" s="18" t="str">
        <x:v>https://www.sec.gov/Archives/edgar/data/2012786/000095013125003508/0000950131-25-003508-index.html</x:v>
      </x:c>
      <x:c r="L68" s="18" t="str">
        <x:v>0000950131-25-003504</x:v>
      </x:c>
      <x:c r="M68" s="18" t="str">
        <x:v>https://www.sec.gov/Archives/edgar/data/2012786/000095013125003504/d812818dex991.htm</x:v>
      </x:c>
      <x:c r="N68" s="22"/>
      <x:c r="O68" s="22"/>
      <x:c r="P68" s="22"/>
      <x:c r="Q68" s="18"/>
      <x:c r="R68" s="35"/>
      <x:c r="S68" s="35"/>
      <x:c r="T68" s="18"/>
      <x:c r="U68" s="35"/>
      <x:c r="V68" s="35"/>
      <x:c r="W68" s="18"/>
      <x:c r="X68" s="22"/>
      <x:c r="Y68" s="22"/>
      <x:c r="Z68" s="18"/>
      <x:c r="AA68" s="35"/>
      <x:c r="AB68" s="22"/>
      <x:c r="AC68" s="18"/>
      <x:c r="AD68" s="18"/>
      <x:c r="AE68" s="22" t="n">
        <x:v>645031.88</x:v>
      </x:c>
      <x:c r="AF68" s="18" t="str">
        <x:v>aggregate_net_liquidation_proceeds</x:v>
      </x:c>
      <x:c r="AG68" s="22" t="n">
        <x:v>578533.34</x:v>
      </x:c>
      <x:c r="AH68" s="22" t="n">
        <x:v>66498.54</x:v>
      </x:c>
      <x:c r="AI68" s="18" t="str">
        <x:v>UNRESOLVED</x:v>
      </x:c>
      <x:c r="AJ68" s="18" t="str">
        <x:v>TIED</x:v>
      </x:c>
      <x:c r="AK68" s="18" t="str">
        <x:v>TIED</x:v>
      </x:c>
      <x:c r="AL68" s="18"/>
      <x:c r="AM68" s="18"/>
      <x:c r="AN68" s="18" t="str">
        <x:v>toyota-30-59-60-89-90-119-120-plus</x:v>
      </x:c>
      <x:c r="AO68" s="35"/>
      <x:c r="AP68" s="18"/>
      <x:c r="AQ68" s="18" t="str">
        <x:v>recovery_comparator_delta</x:v>
      </x:c>
      <x:c r="AR68" s="18" t="str">
        <x:v>UNRESOLVED</x:v>
      </x:c>
      <x:c r="AS68" s="18" t="str">
        <x:v>No</x:v>
      </x:c>
      <x:c r="AT68" s="18" t="str">
        <x:v>Residual retained; public certificate sources do not attribute this ABS-EE aggregate delta to a timing, population, correction, or classification component.</x:v>
      </x:c>
    </x:row>
    <x:row r="69" ht="32" customHeight="1">
      <x:c r="A69" s="18" t="str">
        <x:v>toyota-2024-b-recovery-v1</x:v>
      </x:c>
      <x:c r="B69" s="18" t="str">
        <x:v>TOYOTA-2024-B</x:v>
      </x:c>
      <x:c r="C69" s="18" t="str">
        <x:v>Toyota Auto Receivables</x:v>
      </x:c>
      <x:c r="D69" s="18" t="str">
        <x:v>2025-08</x:v>
      </x:c>
      <x:c r="E69" s="18" t="str">
        <x:v>2025-08-31</x:v>
      </x:c>
      <x:c r="F69" s="18" t="str">
        <x:v>2025-08-01</x:v>
      </x:c>
      <x:c r="G69" s="18" t="str">
        <x:v>2025-08-31</x:v>
      </x:c>
      <x:c r="H69" s="35" t="n">
        <x:v>31</x:v>
      </x:c>
      <x:c r="I69" s="18" t="str">
        <x:v>2025-09-26</x:v>
      </x:c>
      <x:c r="J69" s="18" t="str">
        <x:v>0001193125-25-219721</x:v>
      </x:c>
      <x:c r="K69" s="18" t="str">
        <x:v>https://www.sec.gov/Archives/edgar/data/2012786/000119312525219721/0001193125-25-219721-index.html</x:v>
      </x:c>
      <x:c r="L69" s="18" t="str">
        <x:v>0001193125-25-219716</x:v>
      </x:c>
      <x:c r="M69" s="18" t="str">
        <x:v>https://www.sec.gov/Archives/edgar/data/2012786/000119312525219716/d18148dex991.htm</x:v>
      </x:c>
      <x:c r="N69" s="22"/>
      <x:c r="O69" s="22"/>
      <x:c r="P69" s="22"/>
      <x:c r="Q69" s="18"/>
      <x:c r="R69" s="35"/>
      <x:c r="S69" s="35"/>
      <x:c r="T69" s="18"/>
      <x:c r="U69" s="35"/>
      <x:c r="V69" s="35"/>
      <x:c r="W69" s="18"/>
      <x:c r="X69" s="22"/>
      <x:c r="Y69" s="22"/>
      <x:c r="Z69" s="18"/>
      <x:c r="AA69" s="35"/>
      <x:c r="AB69" s="22"/>
      <x:c r="AC69" s="18"/>
      <x:c r="AD69" s="18"/>
      <x:c r="AE69" s="22" t="n">
        <x:v>439926.23</x:v>
      </x:c>
      <x:c r="AF69" s="18" t="str">
        <x:v>aggregate_net_liquidation_proceeds</x:v>
      </x:c>
      <x:c r="AG69" s="22" t="n">
        <x:v>323214.93</x:v>
      </x:c>
      <x:c r="AH69" s="22" t="n">
        <x:v>116711.3</x:v>
      </x:c>
      <x:c r="AI69" s="18" t="str">
        <x:v>UNRESOLVED</x:v>
      </x:c>
      <x:c r="AJ69" s="18" t="str">
        <x:v>TIED</x:v>
      </x:c>
      <x:c r="AK69" s="18" t="str">
        <x:v>TIED</x:v>
      </x:c>
      <x:c r="AL69" s="18"/>
      <x:c r="AM69" s="18"/>
      <x:c r="AN69" s="18" t="str">
        <x:v>toyota-30-59-60-89-90-119-120-plus</x:v>
      </x:c>
      <x:c r="AO69" s="35"/>
      <x:c r="AP69" s="18"/>
      <x:c r="AQ69" s="18" t="str">
        <x:v>recovery_comparator_delta</x:v>
      </x:c>
      <x:c r="AR69" s="18" t="str">
        <x:v>UNRESOLVED</x:v>
      </x:c>
      <x:c r="AS69" s="18" t="str">
        <x:v>No</x:v>
      </x:c>
      <x:c r="AT69" s="18" t="str">
        <x:v>Residual retained; public certificate sources do not attribute this ABS-EE aggregate delta to a timing, population, correction, or classification component.</x:v>
      </x:c>
    </x:row>
    <x:row r="70" ht="32" customHeight="1">
      <x:c r="A70" s="18" t="str">
        <x:v>toyota-2024-b-recovery-v1</x:v>
      </x:c>
      <x:c r="B70" s="18" t="str">
        <x:v>TOYOTA-2024-B</x:v>
      </x:c>
      <x:c r="C70" s="18" t="str">
        <x:v>Toyota Auto Receivables</x:v>
      </x:c>
      <x:c r="D70" s="18" t="str">
        <x:v>2025-09</x:v>
      </x:c>
      <x:c r="E70" s="18" t="str">
        <x:v>2025-09-30</x:v>
      </x:c>
      <x:c r="F70" s="18" t="str">
        <x:v>2025-09-01</x:v>
      </x:c>
      <x:c r="G70" s="18" t="str">
        <x:v>2025-09-30</x:v>
      </x:c>
      <x:c r="H70" s="35" t="n">
        <x:v>30</x:v>
      </x:c>
      <x:c r="I70" s="18" t="str">
        <x:v>2025-10-29</x:v>
      </x:c>
      <x:c r="J70" s="18" t="str">
        <x:v>0001193125-25-255557</x:v>
      </x:c>
      <x:c r="K70" s="18" t="str">
        <x:v>https://www.sec.gov/Archives/edgar/data/2012786/000119312525255557/0001193125-25-255557-index.html</x:v>
      </x:c>
      <x:c r="L70" s="18" t="str">
        <x:v>0001193125-25-255547</x:v>
      </x:c>
      <x:c r="M70" s="18" t="str">
        <x:v>https://www.sec.gov/Archives/edgar/data/2012786/000119312525255547/d939880dex991.htm</x:v>
      </x:c>
      <x:c r="N70" s="22"/>
      <x:c r="O70" s="22"/>
      <x:c r="P70" s="22"/>
      <x:c r="Q70" s="18"/>
      <x:c r="R70" s="35"/>
      <x:c r="S70" s="35"/>
      <x:c r="T70" s="18"/>
      <x:c r="U70" s="35"/>
      <x:c r="V70" s="35"/>
      <x:c r="W70" s="18"/>
      <x:c r="X70" s="22"/>
      <x:c r="Y70" s="22"/>
      <x:c r="Z70" s="18"/>
      <x:c r="AA70" s="35"/>
      <x:c r="AB70" s="22"/>
      <x:c r="AC70" s="18"/>
      <x:c r="AD70" s="18"/>
      <x:c r="AE70" s="22" t="n">
        <x:v>751399.93</x:v>
      </x:c>
      <x:c r="AF70" s="18" t="str">
        <x:v>aggregate_net_liquidation_proceeds</x:v>
      </x:c>
      <x:c r="AG70" s="22" t="n">
        <x:v>715676.81</x:v>
      </x:c>
      <x:c r="AH70" s="22" t="n">
        <x:v>35723.12</x:v>
      </x:c>
      <x:c r="AI70" s="18" t="str">
        <x:v>UNRESOLVED</x:v>
      </x:c>
      <x:c r="AJ70" s="18" t="str">
        <x:v>TIED</x:v>
      </x:c>
      <x:c r="AK70" s="18" t="str">
        <x:v>TIED</x:v>
      </x:c>
      <x:c r="AL70" s="18"/>
      <x:c r="AM70" s="18"/>
      <x:c r="AN70" s="18" t="str">
        <x:v>toyota-30-59-60-89-90-119-120-plus</x:v>
      </x:c>
      <x:c r="AO70" s="35"/>
      <x:c r="AP70" s="18"/>
      <x:c r="AQ70" s="18" t="str">
        <x:v>recovery_comparator_delta</x:v>
      </x:c>
      <x:c r="AR70" s="18" t="str">
        <x:v>UNRESOLVED</x:v>
      </x:c>
      <x:c r="AS70" s="18" t="str">
        <x:v>No</x:v>
      </x:c>
      <x:c r="AT70" s="18" t="str">
        <x:v>Residual retained; public certificate sources do not attribute this ABS-EE aggregate delta to a timing, population, correction, or classification component.</x:v>
      </x:c>
    </x:row>
    <x:row r="71" ht="32" customHeight="1">
      <x:c r="A71" s="18" t="str">
        <x:v>toyota-2024-b-recovery-v1</x:v>
      </x:c>
      <x:c r="B71" s="18" t="str">
        <x:v>TOYOTA-2024-B</x:v>
      </x:c>
      <x:c r="C71" s="18" t="str">
        <x:v>Toyota Auto Receivables</x:v>
      </x:c>
      <x:c r="D71" s="18" t="str">
        <x:v>2025-10</x:v>
      </x:c>
      <x:c r="E71" s="18" t="str">
        <x:v>2025-10-31</x:v>
      </x:c>
      <x:c r="F71" s="18" t="str">
        <x:v>2025-10-01</x:v>
      </x:c>
      <x:c r="G71" s="18" t="str">
        <x:v>2025-10-31</x:v>
      </x:c>
      <x:c r="H71" s="35" t="n">
        <x:v>31</x:v>
      </x:c>
      <x:c r="I71" s="18" t="str">
        <x:v>2025-11-25</x:v>
      </x:c>
      <x:c r="J71" s="18" t="str">
        <x:v>0001193125-25-295569</x:v>
      </x:c>
      <x:c r="K71" s="18" t="str">
        <x:v>https://www.sec.gov/Archives/edgar/data/2012786/000119312525295569/0001193125-25-295569-index.html</x:v>
      </x:c>
      <x:c r="L71" s="18" t="str">
        <x:v>0001193125-25-295564</x:v>
      </x:c>
      <x:c r="M71" s="18" t="str">
        <x:v>https://www.sec.gov/Archives/edgar/data/2012786/000119312525295564/d17705dex991.htm</x:v>
      </x:c>
      <x:c r="N71" s="22"/>
      <x:c r="O71" s="22"/>
      <x:c r="P71" s="22"/>
      <x:c r="Q71" s="18"/>
      <x:c r="R71" s="35"/>
      <x:c r="S71" s="35"/>
      <x:c r="T71" s="18"/>
      <x:c r="U71" s="35"/>
      <x:c r="V71" s="35"/>
      <x:c r="W71" s="18"/>
      <x:c r="X71" s="22"/>
      <x:c r="Y71" s="22"/>
      <x:c r="Z71" s="18"/>
      <x:c r="AA71" s="35"/>
      <x:c r="AB71" s="22"/>
      <x:c r="AC71" s="18"/>
      <x:c r="AD71" s="18"/>
      <x:c r="AE71" s="22" t="n">
        <x:v>541238.03</x:v>
      </x:c>
      <x:c r="AF71" s="18" t="str">
        <x:v>aggregate_net_liquidation_proceeds</x:v>
      </x:c>
      <x:c r="AG71" s="22" t="n">
        <x:v>420182.07</x:v>
      </x:c>
      <x:c r="AH71" s="22" t="n">
        <x:v>121055.96</x:v>
      </x:c>
      <x:c r="AI71" s="18" t="str">
        <x:v>UNRESOLVED</x:v>
      </x:c>
      <x:c r="AJ71" s="18" t="str">
        <x:v>TIED</x:v>
      </x:c>
      <x:c r="AK71" s="18" t="str">
        <x:v>TIED</x:v>
      </x:c>
      <x:c r="AL71" s="18"/>
      <x:c r="AM71" s="18"/>
      <x:c r="AN71" s="18" t="str">
        <x:v>toyota-30-59-60-89-90-119-120-plus</x:v>
      </x:c>
      <x:c r="AO71" s="35"/>
      <x:c r="AP71" s="18"/>
      <x:c r="AQ71" s="18" t="str">
        <x:v>recovery_comparator_delta</x:v>
      </x:c>
      <x:c r="AR71" s="18" t="str">
        <x:v>UNRESOLVED</x:v>
      </x:c>
      <x:c r="AS71" s="18" t="str">
        <x:v>No</x:v>
      </x:c>
      <x:c r="AT71" s="18" t="str">
        <x:v>Residual retained; public certificate sources do not attribute this ABS-EE aggregate delta to a timing, population, correction, or classification component.</x:v>
      </x:c>
    </x:row>
    <x:row r="72" ht="32" customHeight="1">
      <x:c r="A72" s="18" t="str">
        <x:v>toyota-2024-b-recovery-v1</x:v>
      </x:c>
      <x:c r="B72" s="18" t="str">
        <x:v>TOYOTA-2024-B</x:v>
      </x:c>
      <x:c r="C72" s="18" t="str">
        <x:v>Toyota Auto Receivables</x:v>
      </x:c>
      <x:c r="D72" s="18" t="str">
        <x:v>2025-11</x:v>
      </x:c>
      <x:c r="E72" s="18" t="str">
        <x:v>2025-11-30</x:v>
      </x:c>
      <x:c r="F72" s="18" t="str">
        <x:v>2025-11-01</x:v>
      </x:c>
      <x:c r="G72" s="18" t="str">
        <x:v>2025-11-30</x:v>
      </x:c>
      <x:c r="H72" s="35" t="n">
        <x:v>30</x:v>
      </x:c>
      <x:c r="I72" s="18" t="str">
        <x:v>2025-12-22</x:v>
      </x:c>
      <x:c r="J72" s="18" t="str">
        <x:v>0001193125-25-328014</x:v>
      </x:c>
      <x:c r="K72" s="18" t="str">
        <x:v>https://www.sec.gov/Archives/edgar/data/2012786/000119312525328014/0001193125-25-328014-index.html</x:v>
      </x:c>
      <x:c r="L72" s="18" t="str">
        <x:v>0001193125-25-328003</x:v>
      </x:c>
      <x:c r="M72" s="18" t="str">
        <x:v>https://www.sec.gov/Archives/edgar/data/2012786/000119312525328003/d871370dex991.htm</x:v>
      </x:c>
      <x:c r="N72" s="22"/>
      <x:c r="O72" s="22"/>
      <x:c r="P72" s="22"/>
      <x:c r="Q72" s="18"/>
      <x:c r="R72" s="35"/>
      <x:c r="S72" s="35"/>
      <x:c r="T72" s="18"/>
      <x:c r="U72" s="35"/>
      <x:c r="V72" s="35"/>
      <x:c r="W72" s="18"/>
      <x:c r="X72" s="22"/>
      <x:c r="Y72" s="22"/>
      <x:c r="Z72" s="18"/>
      <x:c r="AA72" s="35"/>
      <x:c r="AB72" s="22"/>
      <x:c r="AC72" s="18"/>
      <x:c r="AD72" s="18"/>
      <x:c r="AE72" s="22" t="n">
        <x:v>455486.86</x:v>
      </x:c>
      <x:c r="AF72" s="18" t="str">
        <x:v>aggregate_net_liquidation_proceeds</x:v>
      </x:c>
      <x:c r="AG72" s="22" t="n">
        <x:v>389774.34</x:v>
      </x:c>
      <x:c r="AH72" s="22" t="n">
        <x:v>65712.52</x:v>
      </x:c>
      <x:c r="AI72" s="18" t="str">
        <x:v>UNRESOLVED</x:v>
      </x:c>
      <x:c r="AJ72" s="18" t="str">
        <x:v>TIED</x:v>
      </x:c>
      <x:c r="AK72" s="18" t="str">
        <x:v>TIED</x:v>
      </x:c>
      <x:c r="AL72" s="18"/>
      <x:c r="AM72" s="18"/>
      <x:c r="AN72" s="18" t="str">
        <x:v>toyota-30-59-60-89-90-119-120-plus</x:v>
      </x:c>
      <x:c r="AO72" s="35"/>
      <x:c r="AP72" s="18"/>
      <x:c r="AQ72" s="18" t="str">
        <x:v>recovery_comparator_delta</x:v>
      </x:c>
      <x:c r="AR72" s="18" t="str">
        <x:v>UNRESOLVED</x:v>
      </x:c>
      <x:c r="AS72" s="18" t="str">
        <x:v>No</x:v>
      </x:c>
      <x:c r="AT72" s="18" t="str">
        <x:v>Residual retained; public certificate sources do not attribute this ABS-EE aggregate delta to a timing, population, correction, or classification component.</x:v>
      </x:c>
    </x:row>
    <x:row r="73" ht="32" customHeight="1">
      <x:c r="A73" s="18" t="str">
        <x:v>toyota-2024-b-recovery-v1</x:v>
      </x:c>
      <x:c r="B73" s="18" t="str">
        <x:v>TOYOTA-2024-B</x:v>
      </x:c>
      <x:c r="C73" s="18" t="str">
        <x:v>Toyota Auto Receivables</x:v>
      </x:c>
      <x:c r="D73" s="18" t="str">
        <x:v>2025-12</x:v>
      </x:c>
      <x:c r="E73" s="18" t="str">
        <x:v>2025-12-31</x:v>
      </x:c>
      <x:c r="F73" s="18" t="str">
        <x:v>2025-12-01</x:v>
      </x:c>
      <x:c r="G73" s="18" t="str">
        <x:v>2025-12-31</x:v>
      </x:c>
      <x:c r="H73" s="35" t="n">
        <x:v>31</x:v>
      </x:c>
      <x:c r="I73" s="18" t="str">
        <x:v>2026-01-28</x:v>
      </x:c>
      <x:c r="J73" s="18" t="str">
        <x:v>0001193125-26-026632</x:v>
      </x:c>
      <x:c r="K73" s="18" t="str">
        <x:v>https://www.sec.gov/Archives/edgar/data/2012786/000119312526026632/0001193125-26-026632-index.html</x:v>
      </x:c>
      <x:c r="L73" s="18" t="str">
        <x:v>0001193125-26-026626</x:v>
      </x:c>
      <x:c r="M73" s="18" t="str">
        <x:v>https://www.sec.gov/Archives/edgar/data/2012786/000119312526026626/d34067dex991.htm</x:v>
      </x:c>
      <x:c r="N73" s="22"/>
      <x:c r="O73" s="22"/>
      <x:c r="P73" s="22"/>
      <x:c r="Q73" s="18"/>
      <x:c r="R73" s="35"/>
      <x:c r="S73" s="35"/>
      <x:c r="T73" s="18"/>
      <x:c r="U73" s="35"/>
      <x:c r="V73" s="35"/>
      <x:c r="W73" s="18"/>
      <x:c r="X73" s="22"/>
      <x:c r="Y73" s="22"/>
      <x:c r="Z73" s="18"/>
      <x:c r="AA73" s="35"/>
      <x:c r="AB73" s="22"/>
      <x:c r="AC73" s="18"/>
      <x:c r="AD73" s="18"/>
      <x:c r="AE73" s="22" t="n">
        <x:v>279962.6</x:v>
      </x:c>
      <x:c r="AF73" s="18" t="str">
        <x:v>aggregate_net_liquidation_proceeds</x:v>
      </x:c>
      <x:c r="AG73" s="22" t="n">
        <x:v>212052.4</x:v>
      </x:c>
      <x:c r="AH73" s="22" t="n">
        <x:v>67910.2</x:v>
      </x:c>
      <x:c r="AI73" s="18" t="str">
        <x:v>UNRESOLVED</x:v>
      </x:c>
      <x:c r="AJ73" s="18" t="str">
        <x:v>TIED</x:v>
      </x:c>
      <x:c r="AK73" s="18" t="str">
        <x:v>TIED</x:v>
      </x:c>
      <x:c r="AL73" s="18"/>
      <x:c r="AM73" s="18"/>
      <x:c r="AN73" s="18" t="str">
        <x:v>toyota-30-59-60-89-90-119-120-plus</x:v>
      </x:c>
      <x:c r="AO73" s="35"/>
      <x:c r="AP73" s="18"/>
      <x:c r="AQ73" s="18" t="str">
        <x:v>recovery_comparator_delta</x:v>
      </x:c>
      <x:c r="AR73" s="18" t="str">
        <x:v>UNRESOLVED</x:v>
      </x:c>
      <x:c r="AS73" s="18" t="str">
        <x:v>No</x:v>
      </x:c>
      <x:c r="AT73" s="18" t="str">
        <x:v>Residual retained; public certificate sources do not attribute this ABS-EE aggregate delta to a timing, population, correction, or classification component.</x:v>
      </x:c>
    </x:row>
    <x:row r="74" ht="32" customHeight="1">
      <x:c r="A74" s="18" t="str">
        <x:v>toyota-2024-b-recovery-v1</x:v>
      </x:c>
      <x:c r="B74" s="18" t="str">
        <x:v>TOYOTA-2024-B</x:v>
      </x:c>
      <x:c r="C74" s="18" t="str">
        <x:v>Toyota Auto Receivables</x:v>
      </x:c>
      <x:c r="D74" s="18" t="str">
        <x:v>2026-01</x:v>
      </x:c>
      <x:c r="E74" s="18" t="str">
        <x:v>2026-01-31</x:v>
      </x:c>
      <x:c r="F74" s="18" t="str">
        <x:v>2026-01-01</x:v>
      </x:c>
      <x:c r="G74" s="18" t="str">
        <x:v>2026-01-31</x:v>
      </x:c>
      <x:c r="H74" s="35" t="n">
        <x:v>31</x:v>
      </x:c>
      <x:c r="I74" s="18" t="str">
        <x:v>2026-02-25</x:v>
      </x:c>
      <x:c r="J74" s="18" t="str">
        <x:v>0001193125-26-069385</x:v>
      </x:c>
      <x:c r="K74" s="18" t="str">
        <x:v>https://www.sec.gov/Archives/edgar/data/2012786/000119312526069385/0001193125-26-069385-index.html</x:v>
      </x:c>
      <x:c r="L74" s="18" t="str">
        <x:v>0001193125-26-069380</x:v>
      </x:c>
      <x:c r="M74" s="18" t="str">
        <x:v>https://www.sec.gov/Archives/edgar/data/2012786/000119312526069380/d65586dex991.htm</x:v>
      </x:c>
      <x:c r="N74" s="22"/>
      <x:c r="O74" s="22"/>
      <x:c r="P74" s="22"/>
      <x:c r="Q74" s="18"/>
      <x:c r="R74" s="35"/>
      <x:c r="S74" s="35"/>
      <x:c r="T74" s="18"/>
      <x:c r="U74" s="35"/>
      <x:c r="V74" s="35"/>
      <x:c r="W74" s="18"/>
      <x:c r="X74" s="22"/>
      <x:c r="Y74" s="22"/>
      <x:c r="Z74" s="18"/>
      <x:c r="AA74" s="35"/>
      <x:c r="AB74" s="22"/>
      <x:c r="AC74" s="18"/>
      <x:c r="AD74" s="18"/>
      <x:c r="AE74" s="22" t="n">
        <x:v>455763.18</x:v>
      </x:c>
      <x:c r="AF74" s="18" t="str">
        <x:v>aggregate_net_liquidation_proceeds</x:v>
      </x:c>
      <x:c r="AG74" s="22" t="n">
        <x:v>383256.56</x:v>
      </x:c>
      <x:c r="AH74" s="22" t="n">
        <x:v>72506.62</x:v>
      </x:c>
      <x:c r="AI74" s="18" t="str">
        <x:v>UNRESOLVED</x:v>
      </x:c>
      <x:c r="AJ74" s="18" t="str">
        <x:v>TIED</x:v>
      </x:c>
      <x:c r="AK74" s="18" t="str">
        <x:v>TIED</x:v>
      </x:c>
      <x:c r="AL74" s="18"/>
      <x:c r="AM74" s="18"/>
      <x:c r="AN74" s="18" t="str">
        <x:v>toyota-30-59-60-89-90-119-120-plus</x:v>
      </x:c>
      <x:c r="AO74" s="35"/>
      <x:c r="AP74" s="18"/>
      <x:c r="AQ74" s="18" t="str">
        <x:v>recovery_comparator_delta</x:v>
      </x:c>
      <x:c r="AR74" s="18" t="str">
        <x:v>UNRESOLVED</x:v>
      </x:c>
      <x:c r="AS74" s="18" t="str">
        <x:v>No</x:v>
      </x:c>
      <x:c r="AT74" s="18" t="str">
        <x:v>Residual retained; public certificate sources do not attribute this ABS-EE aggregate delta to a timing, population, correction, or classification component.</x:v>
      </x:c>
    </x:row>
    <x:row r="75" ht="32" customHeight="1">
      <x:c r="A75" s="18" t="str">
        <x:v>toyota-2024-b-recovery-v1</x:v>
      </x:c>
      <x:c r="B75" s="18" t="str">
        <x:v>TOYOTA-2024-B</x:v>
      </x:c>
      <x:c r="C75" s="18" t="str">
        <x:v>Toyota Auto Receivables</x:v>
      </x:c>
      <x:c r="D75" s="18" t="str">
        <x:v>2026-02</x:v>
      </x:c>
      <x:c r="E75" s="18" t="str">
        <x:v>2026-02-28</x:v>
      </x:c>
      <x:c r="F75" s="18" t="str">
        <x:v>2026-02-01</x:v>
      </x:c>
      <x:c r="G75" s="18" t="str">
        <x:v>2026-02-28</x:v>
      </x:c>
      <x:c r="H75" s="35" t="n">
        <x:v>28</x:v>
      </x:c>
      <x:c r="I75" s="18" t="str">
        <x:v>2026-03-27</x:v>
      </x:c>
      <x:c r="J75" s="18" t="str">
        <x:v>0001193125-26-127962</x:v>
      </x:c>
      <x:c r="K75" s="18" t="str">
        <x:v>https://www.sec.gov/Archives/edgar/data/2012786/000119312526127962/0001193125-26-127962-index.html</x:v>
      </x:c>
      <x:c r="L75" s="18" t="str">
        <x:v>0001193125-26-127954</x:v>
      </x:c>
      <x:c r="M75" s="18" t="str">
        <x:v>https://www.sec.gov/Archives/edgar/data/2012786/000119312526127954/d126685dex991.htm</x:v>
      </x:c>
      <x:c r="N75" s="22"/>
      <x:c r="O75" s="22"/>
      <x:c r="P75" s="22"/>
      <x:c r="Q75" s="18"/>
      <x:c r="R75" s="35"/>
      <x:c r="S75" s="35"/>
      <x:c r="T75" s="18"/>
      <x:c r="U75" s="35"/>
      <x:c r="V75" s="35"/>
      <x:c r="W75" s="18"/>
      <x:c r="X75" s="22"/>
      <x:c r="Y75" s="22"/>
      <x:c r="Z75" s="18"/>
      <x:c r="AA75" s="35"/>
      <x:c r="AB75" s="22"/>
      <x:c r="AC75" s="18"/>
      <x:c r="AD75" s="18"/>
      <x:c r="AE75" s="22" t="n">
        <x:v>538886.26</x:v>
      </x:c>
      <x:c r="AF75" s="18" t="str">
        <x:v>aggregate_net_liquidation_proceeds</x:v>
      </x:c>
      <x:c r="AG75" s="22" t="n">
        <x:v>470166.5</x:v>
      </x:c>
      <x:c r="AH75" s="22" t="n">
        <x:v>68719.76</x:v>
      </x:c>
      <x:c r="AI75" s="18" t="str">
        <x:v>UNRESOLVED</x:v>
      </x:c>
      <x:c r="AJ75" s="18" t="str">
        <x:v>TIED</x:v>
      </x:c>
      <x:c r="AK75" s="18" t="str">
        <x:v>TIED</x:v>
      </x:c>
      <x:c r="AL75" s="18"/>
      <x:c r="AM75" s="18"/>
      <x:c r="AN75" s="18" t="str">
        <x:v>toyota-30-59-60-89-90-119-120-plus</x:v>
      </x:c>
      <x:c r="AO75" s="35"/>
      <x:c r="AP75" s="18"/>
      <x:c r="AQ75" s="18" t="str">
        <x:v>recovery_comparator_delta</x:v>
      </x:c>
      <x:c r="AR75" s="18" t="str">
        <x:v>UNRESOLVED</x:v>
      </x:c>
      <x:c r="AS75" s="18" t="str">
        <x:v>No</x:v>
      </x:c>
      <x:c r="AT75" s="18" t="str">
        <x:v>Residual retained; public certificate sources do not attribute this ABS-EE aggregate delta to a timing, population, correction, or classification component.</x:v>
      </x:c>
    </x:row>
    <x:row r="76" ht="32" customHeight="1">
      <x:c r="A76" s="18" t="str">
        <x:v>toyota-2024-b-recovery-v1</x:v>
      </x:c>
      <x:c r="B76" s="18" t="str">
        <x:v>TOYOTA-2024-B</x:v>
      </x:c>
      <x:c r="C76" s="18" t="str">
        <x:v>Toyota Auto Receivables</x:v>
      </x:c>
      <x:c r="D76" s="18" t="str">
        <x:v>2026-03</x:v>
      </x:c>
      <x:c r="E76" s="18" t="str">
        <x:v>2026-03-31</x:v>
      </x:c>
      <x:c r="F76" s="18" t="str">
        <x:v>2026-03-01</x:v>
      </x:c>
      <x:c r="G76" s="18" t="str">
        <x:v>2026-03-31</x:v>
      </x:c>
      <x:c r="H76" s="35" t="n">
        <x:v>31</x:v>
      </x:c>
      <x:c r="I76" s="18" t="str">
        <x:v>2026-04-28</x:v>
      </x:c>
      <x:c r="J76" s="18" t="str">
        <x:v>0001193125-26-184685</x:v>
      </x:c>
      <x:c r="K76" s="18" t="str">
        <x:v>https://www.sec.gov/Archives/edgar/data/2012786/000119312526184685/0001193125-26-184685-index.html</x:v>
      </x:c>
      <x:c r="L76" s="18" t="str">
        <x:v>0001193125-26-184674</x:v>
      </x:c>
      <x:c r="M76" s="18" t="str">
        <x:v>https://www.sec.gov/Archives/edgar/data/2012786/000119312526184674/d126673dex991.htm</x:v>
      </x:c>
      <x:c r="N76" s="22"/>
      <x:c r="O76" s="22"/>
      <x:c r="P76" s="22"/>
      <x:c r="Q76" s="18"/>
      <x:c r="R76" s="35"/>
      <x:c r="S76" s="35"/>
      <x:c r="T76" s="18"/>
      <x:c r="U76" s="35"/>
      <x:c r="V76" s="35"/>
      <x:c r="W76" s="18"/>
      <x:c r="X76" s="22"/>
      <x:c r="Y76" s="22"/>
      <x:c r="Z76" s="18"/>
      <x:c r="AA76" s="35"/>
      <x:c r="AB76" s="22"/>
      <x:c r="AC76" s="18"/>
      <x:c r="AD76" s="18"/>
      <x:c r="AE76" s="22" t="n">
        <x:v>460538.37</x:v>
      </x:c>
      <x:c r="AF76" s="18" t="str">
        <x:v>aggregate_net_liquidation_proceeds</x:v>
      </x:c>
      <x:c r="AG76" s="22" t="n">
        <x:v>420705.63</x:v>
      </x:c>
      <x:c r="AH76" s="22" t="n">
        <x:v>39832.74</x:v>
      </x:c>
      <x:c r="AI76" s="18" t="str">
        <x:v>UNRESOLVED</x:v>
      </x:c>
      <x:c r="AJ76" s="18" t="str">
        <x:v>TIED</x:v>
      </x:c>
      <x:c r="AK76" s="18" t="str">
        <x:v>TIED</x:v>
      </x:c>
      <x:c r="AL76" s="18"/>
      <x:c r="AM76" s="18"/>
      <x:c r="AN76" s="18" t="str">
        <x:v>toyota-30-59-60-89-90-119-120-plus</x:v>
      </x:c>
      <x:c r="AO76" s="35"/>
      <x:c r="AP76" s="18"/>
      <x:c r="AQ76" s="18" t="str">
        <x:v>recovery_comparator_delta</x:v>
      </x:c>
      <x:c r="AR76" s="18" t="str">
        <x:v>UNRESOLVED</x:v>
      </x:c>
      <x:c r="AS76" s="18" t="str">
        <x:v>No</x:v>
      </x:c>
      <x:c r="AT76" s="18" t="str">
        <x:v>Residual retained; public certificate sources do not attribute this ABS-EE aggregate delta to a timing, population, correction, or classification component.</x:v>
      </x:c>
    </x:row>
    <x:row r="77" ht="32" customHeight="1">
      <x:c r="A77" s="18" t="str">
        <x:v>toyota-2024-b-recovery-v1</x:v>
      </x:c>
      <x:c r="B77" s="18" t="str">
        <x:v>TOYOTA-2024-B</x:v>
      </x:c>
      <x:c r="C77" s="18" t="str">
        <x:v>Toyota Auto Receivables</x:v>
      </x:c>
      <x:c r="D77" s="18" t="str">
        <x:v>2026-04</x:v>
      </x:c>
      <x:c r="E77" s="18" t="str">
        <x:v>2026-04-30</x:v>
      </x:c>
      <x:c r="F77" s="18" t="str">
        <x:v>2026-04-01</x:v>
      </x:c>
      <x:c r="G77" s="18" t="str">
        <x:v>2026-04-30</x:v>
      </x:c>
      <x:c r="H77" s="35" t="n">
        <x:v>30</x:v>
      </x:c>
      <x:c r="I77" s="18" t="str">
        <x:v>2026-05-27</x:v>
      </x:c>
      <x:c r="J77" s="18" t="str">
        <x:v>0001193125-26-240863</x:v>
      </x:c>
      <x:c r="K77" s="18" t="str">
        <x:v>https://www.sec.gov/Archives/edgar/data/2012786/000119312526240863/0001193125-26-240863-index.html</x:v>
      </x:c>
      <x:c r="L77" s="18" t="str">
        <x:v>0001193125-26-240854</x:v>
      </x:c>
      <x:c r="M77" s="18" t="str">
        <x:v>https://www.sec.gov/Archives/edgar/data/2012786/000119312526240854/d68275dex991.htm</x:v>
      </x:c>
      <x:c r="N77" s="22"/>
      <x:c r="O77" s="22"/>
      <x:c r="P77" s="22"/>
      <x:c r="Q77" s="18"/>
      <x:c r="R77" s="35"/>
      <x:c r="S77" s="35"/>
      <x:c r="T77" s="18"/>
      <x:c r="U77" s="35"/>
      <x:c r="V77" s="35"/>
      <x:c r="W77" s="18"/>
      <x:c r="X77" s="22"/>
      <x:c r="Y77" s="22"/>
      <x:c r="Z77" s="18"/>
      <x:c r="AA77" s="35"/>
      <x:c r="AB77" s="22"/>
      <x:c r="AC77" s="18"/>
      <x:c r="AD77" s="18"/>
      <x:c r="AE77" s="22" t="n">
        <x:v>231817.91</x:v>
      </x:c>
      <x:c r="AF77" s="18" t="str">
        <x:v>aggregate_net_liquidation_proceeds</x:v>
      </x:c>
      <x:c r="AG77" s="22" t="n">
        <x:v>203161.57</x:v>
      </x:c>
      <x:c r="AH77" s="22" t="n">
        <x:v>28656.34</x:v>
      </x:c>
      <x:c r="AI77" s="18" t="str">
        <x:v>UNRESOLVED</x:v>
      </x:c>
      <x:c r="AJ77" s="18" t="str">
        <x:v>TIED</x:v>
      </x:c>
      <x:c r="AK77" s="18" t="str">
        <x:v>TIED</x:v>
      </x:c>
      <x:c r="AL77" s="18"/>
      <x:c r="AM77" s="18"/>
      <x:c r="AN77" s="18" t="str">
        <x:v>toyota-30-59-60-89-90-119-120-plus</x:v>
      </x:c>
      <x:c r="AO77" s="35"/>
      <x:c r="AP77" s="18"/>
      <x:c r="AQ77" s="18" t="str">
        <x:v>recovery_comparator_delta</x:v>
      </x:c>
      <x:c r="AR77" s="18" t="str">
        <x:v>UNRESOLVED</x:v>
      </x:c>
      <x:c r="AS77" s="18" t="str">
        <x:v>No</x:v>
      </x:c>
      <x:c r="AT77" s="18" t="str">
        <x:v>Residual retained; public certificate sources do not attribute this ABS-EE aggregate delta to a timing, population, correction, or classification component.</x:v>
      </x:c>
    </x:row>
    <x:row r="78" ht="32" customHeight="1">
      <x:c r="A78" s="18" t="str">
        <x:v>toyota-2024-b-recovery-v1</x:v>
      </x:c>
      <x:c r="B78" s="18" t="str">
        <x:v>TOYOTA-2024-B</x:v>
      </x:c>
      <x:c r="C78" s="18" t="str">
        <x:v>Toyota Auto Receivables</x:v>
      </x:c>
      <x:c r="D78" s="18" t="str">
        <x:v>2026-05</x:v>
      </x:c>
      <x:c r="E78" s="18" t="str">
        <x:v>2026-05-31</x:v>
      </x:c>
      <x:c r="F78" s="18" t="str">
        <x:v>2026-05-01</x:v>
      </x:c>
      <x:c r="G78" s="18" t="str">
        <x:v>2026-05-31</x:v>
      </x:c>
      <x:c r="H78" s="35" t="n">
        <x:v>31</x:v>
      </x:c>
      <x:c r="I78" s="18" t="str">
        <x:v>2026-06-26</x:v>
      </x:c>
      <x:c r="J78" s="18" t="str">
        <x:v>0001193125-26-284301</x:v>
      </x:c>
      <x:c r="K78" s="18" t="str">
        <x:v>https://www.sec.gov/Archives/edgar/data/2012786/000119312526284301/0001193125-26-284301-index.html</x:v>
      </x:c>
      <x:c r="L78" s="18" t="str">
        <x:v>0001193125-26-284297</x:v>
      </x:c>
      <x:c r="M78" s="18" t="str">
        <x:v>https://www.sec.gov/Archives/edgar/data/2012786/000119312526284297/d942025dex991.htm</x:v>
      </x:c>
      <x:c r="N78" s="22"/>
      <x:c r="O78" s="22"/>
      <x:c r="P78" s="22"/>
      <x:c r="Q78" s="18"/>
      <x:c r="R78" s="35"/>
      <x:c r="S78" s="35"/>
      <x:c r="T78" s="18"/>
      <x:c r="U78" s="35"/>
      <x:c r="V78" s="35"/>
      <x:c r="W78" s="18"/>
      <x:c r="X78" s="22"/>
      <x:c r="Y78" s="22"/>
      <x:c r="Z78" s="18"/>
      <x:c r="AA78" s="35"/>
      <x:c r="AB78" s="22"/>
      <x:c r="AC78" s="18"/>
      <x:c r="AD78" s="18"/>
      <x:c r="AE78" s="22" t="n">
        <x:v>377807.51</x:v>
      </x:c>
      <x:c r="AF78" s="18" t="str">
        <x:v>aggregate_net_liquidation_proceeds</x:v>
      </x:c>
      <x:c r="AG78" s="22" t="n">
        <x:v>345072.81</x:v>
      </x:c>
      <x:c r="AH78" s="22" t="n">
        <x:v>32734.7</x:v>
      </x:c>
      <x:c r="AI78" s="18" t="str">
        <x:v>UNRESOLVED</x:v>
      </x:c>
      <x:c r="AJ78" s="18" t="str">
        <x:v>TIED</x:v>
      </x:c>
      <x:c r="AK78" s="18" t="str">
        <x:v>TIED</x:v>
      </x:c>
      <x:c r="AL78" s="18"/>
      <x:c r="AM78" s="18"/>
      <x:c r="AN78" s="18" t="str">
        <x:v>toyota-30-59-60-89-90-119-120-plus</x:v>
      </x:c>
      <x:c r="AO78" s="35"/>
      <x:c r="AP78" s="18"/>
      <x:c r="AQ78" s="18" t="str">
        <x:v>recovery_comparator_delta</x:v>
      </x:c>
      <x:c r="AR78" s="18" t="str">
        <x:v>UNRESOLVED</x:v>
      </x:c>
      <x:c r="AS78" s="18" t="str">
        <x:v>No</x:v>
      </x:c>
      <x:c r="AT78" s="18" t="str">
        <x:v>Residual retained; public certificate sources do not attribute this ABS-EE aggregate delta to a timing, population, correction, or classification component.</x:v>
      </x:c>
    </x:row>
    <x:row r="79" ht="32" customHeight="1">
      <x:c r="A79" s="18" t="str">
        <x:v>toyota-2024-b-recovery-v1</x:v>
      </x:c>
      <x:c r="B79" s="18" t="str">
        <x:v>TOYOTA-2024-B</x:v>
      </x:c>
      <x:c r="C79" s="18" t="str">
        <x:v>Toyota Auto Receivables</x:v>
      </x:c>
      <x:c r="D79" s="18" t="str">
        <x:v>2026-06</x:v>
      </x:c>
      <x:c r="E79" s="18" t="str">
        <x:v>2026-06-30</x:v>
      </x:c>
      <x:c r="F79" s="18" t="str">
        <x:v>2026-06-01</x:v>
      </x:c>
      <x:c r="G79" s="18" t="str">
        <x:v>2026-06-30</x:v>
      </x:c>
      <x:c r="H79" s="35" t="n">
        <x:v>30</x:v>
      </x:c>
      <x:c r="I79" s="18" t="str">
        <x:v>2026-07-29</x:v>
      </x:c>
      <x:c r="J79" s="18" t="str">
        <x:v>0001193125-26-322515</x:v>
      </x:c>
      <x:c r="K79" s="18" t="str">
        <x:v>https://www.sec.gov/Archives/edgar/data/2012786/000119312526322515/0001193125-26-322515-index.html</x:v>
      </x:c>
      <x:c r="L79" s="18" t="str">
        <x:v>0001193125-26-322496</x:v>
      </x:c>
      <x:c r="M79" s="18" t="str">
        <x:v>https://www.sec.gov/Archives/edgar/data/2012786/000119312526322496/d111600dex991.htm</x:v>
      </x:c>
      <x:c r="N79" s="22"/>
      <x:c r="O79" s="22"/>
      <x:c r="P79" s="22"/>
      <x:c r="Q79" s="18"/>
      <x:c r="R79" s="35"/>
      <x:c r="S79" s="35"/>
      <x:c r="T79" s="18"/>
      <x:c r="U79" s="35"/>
      <x:c r="V79" s="35"/>
      <x:c r="W79" s="18"/>
      <x:c r="X79" s="22"/>
      <x:c r="Y79" s="22"/>
      <x:c r="Z79" s="18"/>
      <x:c r="AA79" s="35"/>
      <x:c r="AB79" s="22"/>
      <x:c r="AC79" s="18"/>
      <x:c r="AD79" s="18"/>
      <x:c r="AE79" s="22" t="n">
        <x:v>343616.4</x:v>
      </x:c>
      <x:c r="AF79" s="18" t="str">
        <x:v>aggregate_net_liquidation_proceeds</x:v>
      </x:c>
      <x:c r="AG79" s="22" t="n">
        <x:v>303481.64</x:v>
      </x:c>
      <x:c r="AH79" s="22" t="n">
        <x:v>40134.76</x:v>
      </x:c>
      <x:c r="AI79" s="18" t="str">
        <x:v>UNRESOLVED</x:v>
      </x:c>
      <x:c r="AJ79" s="18" t="str">
        <x:v>TIED</x:v>
      </x:c>
      <x:c r="AK79" s="18" t="str">
        <x:v>TIED</x:v>
      </x:c>
      <x:c r="AL79" s="18"/>
      <x:c r="AM79" s="18"/>
      <x:c r="AN79" s="18" t="str">
        <x:v>toyota-30-59-60-89-90-119-120-plus</x:v>
      </x:c>
      <x:c r="AO79" s="35"/>
      <x:c r="AP79" s="18"/>
      <x:c r="AQ79" s="18" t="str">
        <x:v>recovery_comparator_delta</x:v>
      </x:c>
      <x:c r="AR79" s="18" t="str">
        <x:v>UNRESOLVED</x:v>
      </x:c>
      <x:c r="AS79" s="18" t="str">
        <x:v>No</x:v>
      </x:c>
      <x:c r="AT79" s="18" t="str">
        <x:v>Residual retained; public certificate sources do not attribute this ABS-EE aggregate delta to a timing, population, correction, or classification component.</x:v>
      </x:c>
    </x:row>
    <x:row r="80" ht="32" customHeight="1">
      <x:c r="A80" s="18" t="str">
        <x:v>toyota-2024-b-recovery-v1</x:v>
      </x:c>
      <x:c r="B80" s="18" t="str">
        <x:v>TOYOTA-2024-B</x:v>
      </x:c>
      <x:c r="C80" s="18" t="str">
        <x:v>Toyota Auto Receivables</x:v>
      </x:c>
      <x:c r="D80" s="18" t="str">
        <x:v>2026-07</x:v>
      </x:c>
      <x:c r="E80" s="18" t="str">
        <x:v>2026-07-31</x:v>
      </x:c>
      <x:c r="F80" s="18" t="str">
        <x:v>2026-07-01</x:v>
      </x:c>
      <x:c r="G80" s="18" t="str">
        <x:v>2026-07-31</x:v>
      </x:c>
      <x:c r="H80" s="35" t="n">
        <x:v>31</x:v>
      </x:c>
      <x:c r="I80" s="18" t="str">
        <x:v>2026-08-27</x:v>
      </x:c>
      <x:c r="J80" s="18" t="str">
        <x:v>0001193125-26-369950</x:v>
      </x:c>
      <x:c r="K80" s="18" t="str">
        <x:v>https://www.sec.gov/Archives/edgar/data/2012786/000119312526369950/0001193125-26-369950-index.html</x:v>
      </x:c>
      <x:c r="L80" s="18" t="str">
        <x:v>0001193125-26-369942</x:v>
      </x:c>
      <x:c r="M80" s="18" t="str">
        <x:v>https://www.sec.gov/Archives/edgar/data/2012786/000119312526369942/d119592dex991.htm</x:v>
      </x:c>
      <x:c r="N80" s="22"/>
      <x:c r="O80" s="22"/>
      <x:c r="P80" s="22"/>
      <x:c r="Q80" s="18"/>
      <x:c r="R80" s="35"/>
      <x:c r="S80" s="35"/>
      <x:c r="T80" s="18"/>
      <x:c r="U80" s="35"/>
      <x:c r="V80" s="35"/>
      <x:c r="W80" s="18"/>
      <x:c r="X80" s="22"/>
      <x:c r="Y80" s="22"/>
      <x:c r="Z80" s="18"/>
      <x:c r="AA80" s="35"/>
      <x:c r="AB80" s="22"/>
      <x:c r="AC80" s="18"/>
      <x:c r="AD80" s="18"/>
      <x:c r="AE80" s="22" t="n">
        <x:v>203651.03</x:v>
      </x:c>
      <x:c r="AF80" s="18" t="str">
        <x:v>aggregate_net_liquidation_proceeds</x:v>
      </x:c>
      <x:c r="AG80" s="22" t="n">
        <x:v>163177.07</x:v>
      </x:c>
      <x:c r="AH80" s="22" t="n">
        <x:v>40473.96</x:v>
      </x:c>
      <x:c r="AI80" s="18" t="str">
        <x:v>UNRESOLVED</x:v>
      </x:c>
      <x:c r="AJ80" s="18" t="str">
        <x:v>TIED</x:v>
      </x:c>
      <x:c r="AK80" s="18" t="str">
        <x:v>TIED</x:v>
      </x:c>
      <x:c r="AL80" s="18"/>
      <x:c r="AM80" s="18"/>
      <x:c r="AN80" s="18" t="str">
        <x:v>toyota-30-59-60-89-90-119-120-plus</x:v>
      </x:c>
      <x:c r="AO80" s="35"/>
      <x:c r="AP80" s="18"/>
      <x:c r="AQ80" s="18" t="str">
        <x:v>recovery_comparator_delta</x:v>
      </x:c>
      <x:c r="AR80" s="18" t="str">
        <x:v>UNRESOLVED</x:v>
      </x:c>
      <x:c r="AS80" s="18" t="str">
        <x:v>No</x:v>
      </x:c>
      <x:c r="AT80" s="18" t="str">
        <x:v>Residual retained; public certificate sources do not attribute this ABS-EE aggregate delta to a timing, population, correction, or classification component.</x:v>
      </x:c>
    </x:row>
    <x:row r="81" ht="32" customHeight="1">
      <x:c r="A81" s="18" t="str">
        <x:v>toyota-2024-b-recovery-v1</x:v>
      </x:c>
      <x:c r="B81" s="18" t="str">
        <x:v>TOYOTA-2024-B</x:v>
      </x:c>
      <x:c r="C81" s="18" t="str">
        <x:v>Toyota Auto Receivables</x:v>
      </x:c>
      <x:c r="D81" s="18" t="str">
        <x:v>2026-08</x:v>
      </x:c>
      <x:c r="E81" s="18" t="str">
        <x:v>2026-08-31</x:v>
      </x:c>
      <x:c r="F81" s="18" t="str">
        <x:v>2026-08-01</x:v>
      </x:c>
      <x:c r="G81" s="18" t="str">
        <x:v>2026-08-31</x:v>
      </x:c>
      <x:c r="H81" s="35" t="n">
        <x:v>31</x:v>
      </x:c>
      <x:c r="I81" s="18" t="str">
        <x:v>2026-09-28</x:v>
      </x:c>
      <x:c r="J81" s="18" t="str">
        <x:v>0001193125-26-403967</x:v>
      </x:c>
      <x:c r="K81" s="18" t="str">
        <x:v>https://www.sec.gov/Archives/edgar/data/2012786/000119312526403967/0001193125-26-403967-index.html</x:v>
      </x:c>
      <x:c r="L81" s="18" t="str">
        <x:v>0001193125-26-403955</x:v>
      </x:c>
      <x:c r="M81" s="18" t="str">
        <x:v>https://www.sec.gov/Archives/edgar/data/2012786/000119312526403955/d31321dex991.htm</x:v>
      </x:c>
      <x:c r="N81" s="22"/>
      <x:c r="O81" s="22"/>
      <x:c r="P81" s="22"/>
      <x:c r="Q81" s="18"/>
      <x:c r="R81" s="35"/>
      <x:c r="S81" s="35"/>
      <x:c r="T81" s="18"/>
      <x:c r="U81" s="35"/>
      <x:c r="V81" s="35"/>
      <x:c r="W81" s="18"/>
      <x:c r="X81" s="22"/>
      <x:c r="Y81" s="22"/>
      <x:c r="Z81" s="18"/>
      <x:c r="AA81" s="35"/>
      <x:c r="AB81" s="22"/>
      <x:c r="AC81" s="18"/>
      <x:c r="AD81" s="18"/>
      <x:c r="AE81" s="22" t="n">
        <x:v>343258.32</x:v>
      </x:c>
      <x:c r="AF81" s="18" t="str">
        <x:v>aggregate_net_liquidation_proceeds</x:v>
      </x:c>
      <x:c r="AG81" s="22" t="n">
        <x:v>299467.14</x:v>
      </x:c>
      <x:c r="AH81" s="22" t="n">
        <x:v>43791.18</x:v>
      </x:c>
      <x:c r="AI81" s="18" t="str">
        <x:v>UNRESOLVED</x:v>
      </x:c>
      <x:c r="AJ81" s="18" t="str">
        <x:v>TIED</x:v>
      </x:c>
      <x:c r="AK81" s="18" t="str">
        <x:v>TIED</x:v>
      </x:c>
      <x:c r="AL81" s="18"/>
      <x:c r="AM81" s="18"/>
      <x:c r="AN81" s="18" t="str">
        <x:v>toyota-30-59-60-89-90-119-120-plus</x:v>
      </x:c>
      <x:c r="AO81" s="35"/>
      <x:c r="AP81" s="18"/>
      <x:c r="AQ81" s="18" t="str">
        <x:v>recovery_comparator_delta</x:v>
      </x:c>
      <x:c r="AR81" s="18" t="str">
        <x:v>UNRESOLVED</x:v>
      </x:c>
      <x:c r="AS81" s="18" t="str">
        <x:v>No</x:v>
      </x:c>
      <x:c r="AT81" s="18" t="str">
        <x:v>Residual retained; public certificate sources do not attribute this ABS-EE aggregate delta to a timing, population, correction, or classification component.</x:v>
      </x:c>
    </x:row>
    <x:row r="82" ht="32" customHeight="1">
      <x:c r="A82" s="18" t="str">
        <x:v>nissan-2024-b-surveillance-v1</x:v>
      </x:c>
      <x:c r="B82" s="18" t="str">
        <x:v>NISSAN-2024-B</x:v>
      </x:c>
      <x:c r="C82" s="18" t="str">
        <x:v>Nissan Auto Receivables</x:v>
      </x:c>
      <x:c r="D82" s="18" t="str">
        <x:v>2024-10</x:v>
      </x:c>
      <x:c r="E82" s="18" t="str">
        <x:v>2024-10-31</x:v>
      </x:c>
      <x:c r="F82" s="18" t="str">
        <x:v>2024-10-23</x:v>
      </x:c>
      <x:c r="G82" s="18" t="str">
        <x:v>2024-10-31</x:v>
      </x:c>
      <x:c r="H82" s="35" t="n">
        <x:v>9</x:v>
      </x:c>
      <x:c r="I82" s="18"/>
      <x:c r="J82" s="18" t="str">
        <x:v>0000950131-24-004632</x:v>
      </x:c>
      <x:c r="K82" s="18" t="str">
        <x:v>https://www.sec.gov/Archives/edgar/data/2035264/000095013124004632/000095013124004632-index.html</x:v>
      </x:c>
      <x:c r="L82" s="18" t="str">
        <x:v>0001193125-24-264295</x:v>
      </x:c>
      <x:c r="M82" s="18" t="str">
        <x:v>https://www.sec.gov/Archives/edgar/data/2035264/000119312524264295/d900783dex991.htm</x:v>
      </x:c>
      <x:c r="N82" s="22" t="n">
        <x:v>1348763165.82</x:v>
      </x:c>
      <x:c r="O82" s="22" t="n">
        <x:v>1348763165.82</x:v>
      </x:c>
      <x:c r="P82" s="22" t="n">
        <x:v>0</x:v>
      </x:c>
      <x:c r="Q82" s="18" t="str">
        <x:v>TIED</x:v>
      </x:c>
      <x:c r="R82" s="35" t="n">
        <x:v>62914</x:v>
      </x:c>
      <x:c r="S82" s="35" t="n">
        <x:v>62914</x:v>
      </x:c>
      <x:c r="T82" s="18" t="str">
        <x:v>TIED</x:v>
      </x:c>
      <x:c r="U82" s="35" t="n">
        <x:v>5</x:v>
      </x:c>
      <x:c r="V82" s="35" t="n">
        <x:v>5</x:v>
      </x:c>
      <x:c r="W82" s="18" t="str">
        <x:v>TIED</x:v>
      </x:c>
      <x:c r="X82" s="22" t="n">
        <x:v>90158.92</x:v>
      </x:c>
      <x:c r="Y82" s="22" t="n">
        <x:v>90158.92</x:v>
      </x:c>
      <x:c r="Z82" s="18" t="str">
        <x:v>TIED</x:v>
      </x:c>
      <x:c r="AA82" s="35" t="n">
        <x:v>5</x:v>
      </x:c>
      <x:c r="AB82" s="22" t="n">
        <x:v>90158.92</x:v>
      </x:c>
      <x:c r="AC82" s="18" t="str">
        <x:v>TIED</x:v>
      </x:c>
      <x:c r="AD82" s="18" t="str">
        <x:v>TIED</x:v>
      </x:c>
      <x:c r="AE82" s="22" t="n">
        <x:v>0</x:v>
      </x:c>
      <x:c r="AF82" s="18" t="str">
        <x:v>recoveries_of_defaulted_receivables</x:v>
      </x:c>
      <x:c r="AG82" s="22" t="n">
        <x:v>0</x:v>
      </x:c>
      <x:c r="AH82" s="22" t="n">
        <x:v>0</x:v>
      </x:c>
      <x:c r="AI82" s="18" t="str">
        <x:v>TIED</x:v>
      </x:c>
      <x:c r="AJ82" s="18"/>
      <x:c r="AK82" s="18"/>
      <x:c r="AL82" s="18" t="str">
        <x:v>TIED</x:v>
      </x:c>
      <x:c r="AM82" s="18" t="str">
        <x:v>TIED</x:v>
      </x:c>
      <x:c r="AN82" s="18" t="str">
        <x:v>nissan-31-60-61-90-91-120-over-120</x:v>
      </x:c>
      <x:c r="AO82" s="35" t="n">
        <x:v>8</x:v>
      </x:c>
      <x:c r="AP82" s="18" t="str">
        <x:v>8</x:v>
      </x:c>
      <x:c r="AQ82" s="18"/>
      <x:c r="AR82" s="18" t="str">
        <x:v>NO_EXCEPTION_IN_RELEASE_SCOPE</x:v>
      </x:c>
      <x:c r="AS82" s="18" t="str">
        <x:v>No</x:v>
      </x:c>
      <x:c r="AT82" s="18"/>
    </x:row>
    <x:row r="83" ht="32" customHeight="1">
      <x:c r="A83" s="18" t="str">
        <x:v>nissan-2024-b-surveillance-v1</x:v>
      </x:c>
      <x:c r="B83" s="18" t="str">
        <x:v>NISSAN-2024-B</x:v>
      </x:c>
      <x:c r="C83" s="18" t="str">
        <x:v>Nissan Auto Receivables</x:v>
      </x:c>
      <x:c r="D83" s="18" t="str">
        <x:v>2024-11</x:v>
      </x:c>
      <x:c r="E83" s="18" t="str">
        <x:v>2024-11-30</x:v>
      </x:c>
      <x:c r="F83" s="18" t="str">
        <x:v>2024-11-01</x:v>
      </x:c>
      <x:c r="G83" s="18" t="str">
        <x:v>2024-11-30</x:v>
      </x:c>
      <x:c r="H83" s="35" t="n">
        <x:v>30</x:v>
      </x:c>
      <x:c r="I83" s="18"/>
      <x:c r="J83" s="18" t="str">
        <x:v>0000950131-24-005071</x:v>
      </x:c>
      <x:c r="K83" s="18" t="str">
        <x:v>https://www.sec.gov/Archives/edgar/data/2035264/000095013124005071/000095013124005071-index.html</x:v>
      </x:c>
      <x:c r="L83" s="18" t="str">
        <x:v>0001193125-24-283020</x:v>
      </x:c>
      <x:c r="M83" s="18" t="str">
        <x:v>https://www.sec.gov/Archives/edgar/data/2035264/000119312524283020/d835910dex991.htm</x:v>
      </x:c>
      <x:c r="N83" s="22" t="n">
        <x:v>1301426711.8</x:v>
      </x:c>
      <x:c r="O83" s="22" t="n">
        <x:v>1301426711.8</x:v>
      </x:c>
      <x:c r="P83" s="22" t="n">
        <x:v>0</x:v>
      </x:c>
      <x:c r="Q83" s="18" t="str">
        <x:v>TIED</x:v>
      </x:c>
      <x:c r="R83" s="35" t="n">
        <x:v>62140</x:v>
      </x:c>
      <x:c r="S83" s="35" t="n">
        <x:v>62140</x:v>
      </x:c>
      <x:c r="T83" s="18" t="str">
        <x:v>TIED</x:v>
      </x:c>
      <x:c r="U83" s="35" t="n">
        <x:v>11</x:v>
      </x:c>
      <x:c r="V83" s="35" t="n">
        <x:v>11</x:v>
      </x:c>
      <x:c r="W83" s="18" t="str">
        <x:v>TIED</x:v>
      </x:c>
      <x:c r="X83" s="22" t="n">
        <x:v>314944.9</x:v>
      </x:c>
      <x:c r="Y83" s="22" t="n">
        <x:v>314944.9</x:v>
      </x:c>
      <x:c r="Z83" s="18" t="str">
        <x:v>TIED</x:v>
      </x:c>
      <x:c r="AA83" s="35" t="n">
        <x:v>11</x:v>
      </x:c>
      <x:c r="AB83" s="22" t="n">
        <x:v>314944.9</x:v>
      </x:c>
      <x:c r="AC83" s="18" t="str">
        <x:v>TIED</x:v>
      </x:c>
      <x:c r="AD83" s="18" t="str">
        <x:v>TIED</x:v>
      </x:c>
      <x:c r="AE83" s="22" t="n">
        <x:v>754.75</x:v>
      </x:c>
      <x:c r="AF83" s="18" t="str">
        <x:v>recoveries_of_defaulted_receivables</x:v>
      </x:c>
      <x:c r="AG83" s="22" t="n">
        <x:v>754.75</x:v>
      </x:c>
      <x:c r="AH83" s="22" t="n">
        <x:v>0</x:v>
      </x:c>
      <x:c r="AI83" s="18" t="str">
        <x:v>TIED</x:v>
      </x:c>
      <x:c r="AJ83" s="18"/>
      <x:c r="AK83" s="18"/>
      <x:c r="AL83" s="18" t="str">
        <x:v>TIED</x:v>
      </x:c>
      <x:c r="AM83" s="18" t="str">
        <x:v>TIED</x:v>
      </x:c>
      <x:c r="AN83" s="18" t="str">
        <x:v>nissan-31-60-61-90-91-120-over-120</x:v>
      </x:c>
      <x:c r="AO83" s="35" t="n">
        <x:v>8</x:v>
      </x:c>
      <x:c r="AP83" s="18" t="str">
        <x:v>8</x:v>
      </x:c>
      <x:c r="AQ83" s="18"/>
      <x:c r="AR83" s="18" t="str">
        <x:v>NO_EXCEPTION_IN_RELEASE_SCOPE</x:v>
      </x:c>
      <x:c r="AS83" s="18" t="str">
        <x:v>No</x:v>
      </x:c>
      <x:c r="AT83" s="18"/>
    </x:row>
    <x:row r="84" ht="32" customHeight="1">
      <x:c r="A84" s="18" t="str">
        <x:v>nissan-2024-b-surveillance-v1</x:v>
      </x:c>
      <x:c r="B84" s="18" t="str">
        <x:v>NISSAN-2024-B</x:v>
      </x:c>
      <x:c r="C84" s="18" t="str">
        <x:v>Nissan Auto Receivables</x:v>
      </x:c>
      <x:c r="D84" s="18" t="str">
        <x:v>2024-12</x:v>
      </x:c>
      <x:c r="E84" s="18" t="str">
        <x:v>2024-12-31</x:v>
      </x:c>
      <x:c r="F84" s="18" t="str">
        <x:v>2024-12-01</x:v>
      </x:c>
      <x:c r="G84" s="18" t="str">
        <x:v>2024-12-31</x:v>
      </x:c>
      <x:c r="H84" s="35" t="n">
        <x:v>31</x:v>
      </x:c>
      <x:c r="I84" s="18"/>
      <x:c r="J84" s="18" t="str">
        <x:v>0000950131-25-000358</x:v>
      </x:c>
      <x:c r="K84" s="18" t="str">
        <x:v>https://www.sec.gov/Archives/edgar/data/2035264/000095013125000358/000095013125000358-index.html</x:v>
      </x:c>
      <x:c r="L84" s="18" t="str">
        <x:v>0001193125-25-012289</x:v>
      </x:c>
      <x:c r="M84" s="18" t="str">
        <x:v>https://www.sec.gov/Archives/edgar/data/2035264/000119312525012289/d877777dex991.htm</x:v>
      </x:c>
      <x:c r="N84" s="22" t="n">
        <x:v>1251165413.1</x:v>
      </x:c>
      <x:c r="O84" s="22" t="n">
        <x:v>1251165413.1</x:v>
      </x:c>
      <x:c r="P84" s="22" t="n">
        <x:v>0</x:v>
      </x:c>
      <x:c r="Q84" s="18" t="str">
        <x:v>TIED</x:v>
      </x:c>
      <x:c r="R84" s="35" t="n">
        <x:v>61190</x:v>
      </x:c>
      <x:c r="S84" s="35" t="n">
        <x:v>61190</x:v>
      </x:c>
      <x:c r="T84" s="18" t="str">
        <x:v>TIED</x:v>
      </x:c>
      <x:c r="U84" s="35" t="n">
        <x:v>17</x:v>
      </x:c>
      <x:c r="V84" s="35" t="n">
        <x:v>17</x:v>
      </x:c>
      <x:c r="W84" s="18" t="str">
        <x:v>TIED</x:v>
      </x:c>
      <x:c r="X84" s="22" t="n">
        <x:v>491356.78</x:v>
      </x:c>
      <x:c r="Y84" s="22" t="n">
        <x:v>491356.78</x:v>
      </x:c>
      <x:c r="Z84" s="18" t="str">
        <x:v>TIED</x:v>
      </x:c>
      <x:c r="AA84" s="35" t="n">
        <x:v>17</x:v>
      </x:c>
      <x:c r="AB84" s="22" t="n">
        <x:v>491356.78</x:v>
      </x:c>
      <x:c r="AC84" s="18" t="str">
        <x:v>TIED</x:v>
      </x:c>
      <x:c r="AD84" s="18" t="str">
        <x:v>TIED</x:v>
      </x:c>
      <x:c r="AE84" s="22" t="n">
        <x:v>25270.57</x:v>
      </x:c>
      <x:c r="AF84" s="18" t="str">
        <x:v>recoveries_of_defaulted_receivables</x:v>
      </x:c>
      <x:c r="AG84" s="22" t="n">
        <x:v>25244.84</x:v>
      </x:c>
      <x:c r="AH84" s="22" t="n">
        <x:v>25.73</x:v>
      </x:c>
      <x:c r="AI84" s="18" t="str">
        <x:v>UNRESOLVED</x:v>
      </x:c>
      <x:c r="AJ84" s="18"/>
      <x:c r="AK84" s="18"/>
      <x:c r="AL84" s="18" t="str">
        <x:v>TIED</x:v>
      </x:c>
      <x:c r="AM84" s="18" t="str">
        <x:v>TIED</x:v>
      </x:c>
      <x:c r="AN84" s="18" t="str">
        <x:v>nissan-31-60-61-90-91-120-over-120</x:v>
      </x:c>
      <x:c r="AO84" s="35" t="n">
        <x:v>8</x:v>
      </x:c>
      <x:c r="AP84" s="18" t="str">
        <x:v>8</x:v>
      </x:c>
      <x:c r="AQ84" s="18" t="str">
        <x:v>recovery_comparator_delta</x:v>
      </x:c>
      <x:c r="AR84" s="18" t="str">
        <x:v>UNRESOLVED</x:v>
      </x:c>
      <x:c r="AS84" s="18" t="str">
        <x:v>No</x:v>
      </x:c>
      <x:c r="AT84" s="18" t="str">
        <x:v>Unresolved deal-specific exception(s): recovery comparator delta. See the contract-specific definition and filed sources; no cause is assigned.</x:v>
      </x:c>
    </x:row>
    <x:row r="85" ht="32" customHeight="1">
      <x:c r="A85" s="18" t="str">
        <x:v>nissan-2024-b-surveillance-v1</x:v>
      </x:c>
      <x:c r="B85" s="18" t="str">
        <x:v>NISSAN-2024-B</x:v>
      </x:c>
      <x:c r="C85" s="18" t="str">
        <x:v>Nissan Auto Receivables</x:v>
      </x:c>
      <x:c r="D85" s="18" t="str">
        <x:v>2025-01</x:v>
      </x:c>
      <x:c r="E85" s="18" t="str">
        <x:v>2025-01-31</x:v>
      </x:c>
      <x:c r="F85" s="18" t="str">
        <x:v>2025-01-01</x:v>
      </x:c>
      <x:c r="G85" s="18" t="str">
        <x:v>2025-01-31</x:v>
      </x:c>
      <x:c r="H85" s="35" t="n">
        <x:v>31</x:v>
      </x:c>
      <x:c r="I85" s="18"/>
      <x:c r="J85" s="18" t="str">
        <x:v>0000950131-25-000784</x:v>
      </x:c>
      <x:c r="K85" s="18" t="str">
        <x:v>https://www.sec.gov/Archives/edgar/data/2035264/000095013125000784/000095013125000784-index.html</x:v>
      </x:c>
      <x:c r="L85" s="18" t="str">
        <x:v>0001193125-25-034940</x:v>
      </x:c>
      <x:c r="M85" s="18" t="str">
        <x:v>https://www.sec.gov/Archives/edgar/data/2035264/000119312525034940/d804532dex991.htm</x:v>
      </x:c>
      <x:c r="N85" s="22" t="n">
        <x:v>1199945818.15</x:v>
      </x:c>
      <x:c r="O85" s="22" t="n">
        <x:v>1199945818.15</x:v>
      </x:c>
      <x:c r="P85" s="22" t="n">
        <x:v>0</x:v>
      </x:c>
      <x:c r="Q85" s="18" t="str">
        <x:v>TIED</x:v>
      </x:c>
      <x:c r="R85" s="35" t="n">
        <x:v>59929</x:v>
      </x:c>
      <x:c r="S85" s="35" t="n">
        <x:v>59929</x:v>
      </x:c>
      <x:c r="T85" s="18" t="str">
        <x:v>TIED</x:v>
      </x:c>
      <x:c r="U85" s="35" t="n">
        <x:v>30</x:v>
      </x:c>
      <x:c r="V85" s="35" t="n">
        <x:v>31</x:v>
      </x:c>
      <x:c r="W85" s="18" t="str">
        <x:v>MISMATCH</x:v>
      </x:c>
      <x:c r="X85" s="22" t="n">
        <x:v>704133.82</x:v>
      </x:c>
      <x:c r="Y85" s="22" t="n">
        <x:v>704133.82</x:v>
      </x:c>
      <x:c r="Z85" s="18" t="str">
        <x:v>TIED</x:v>
      </x:c>
      <x:c r="AA85" s="35" t="n">
        <x:v>31</x:v>
      </x:c>
      <x:c r="AB85" s="22" t="n">
        <x:v>704133.82</x:v>
      </x:c>
      <x:c r="AC85" s="18" t="str">
        <x:v>TIED</x:v>
      </x:c>
      <x:c r="AD85" s="18" t="str">
        <x:v>TIED</x:v>
      </x:c>
      <x:c r="AE85" s="22" t="n">
        <x:v>254690.54</x:v>
      </x:c>
      <x:c r="AF85" s="18" t="str">
        <x:v>recoveries_of_defaulted_receivables</x:v>
      </x:c>
      <x:c r="AG85" s="22" t="n">
        <x:v>254542.68</x:v>
      </x:c>
      <x:c r="AH85" s="22" t="n">
        <x:v>147.86</x:v>
      </x:c>
      <x:c r="AI85" s="18" t="str">
        <x:v>UNRESOLVED</x:v>
      </x:c>
      <x:c r="AJ85" s="18"/>
      <x:c r="AK85" s="18"/>
      <x:c r="AL85" s="18" t="str">
        <x:v>TIED</x:v>
      </x:c>
      <x:c r="AM85" s="18" t="str">
        <x:v>TIED</x:v>
      </x:c>
      <x:c r="AN85" s="18" t="str">
        <x:v>nissan-31-60-61-90-91-120-over-120</x:v>
      </x:c>
      <x:c r="AO85" s="35" t="n">
        <x:v>8</x:v>
      </x:c>
      <x:c r="AP85" s="18" t="str">
        <x:v>8</x:v>
      </x:c>
      <x:c r="AQ85" s="18" t="str">
        <x:v>recovery_comparator_delta;chargeoff_event_count</x:v>
      </x:c>
      <x:c r="AR85" s="18" t="str">
        <x:v>UNRESOLVED</x:v>
      </x:c>
      <x:c r="AS85" s="18" t="str">
        <x:v>No</x:v>
      </x:c>
      <x:c r="AT85" s="18" t="str">
        <x:v>Unresolved deal-specific exception(s): recovery comparator delta, chargeoff event count. See the contract-specific definition and filed sources; no cause is assigned.</x:v>
      </x:c>
    </x:row>
    <x:row r="86" ht="32" customHeight="1">
      <x:c r="A86" s="18" t="str">
        <x:v>nissan-2024-b-surveillance-v1</x:v>
      </x:c>
      <x:c r="B86" s="18" t="str">
        <x:v>NISSAN-2024-B</x:v>
      </x:c>
      <x:c r="C86" s="18" t="str">
        <x:v>Nissan Auto Receivables</x:v>
      </x:c>
      <x:c r="D86" s="18" t="str">
        <x:v>2025-02</x:v>
      </x:c>
      <x:c r="E86" s="18" t="str">
        <x:v>2025-02-28</x:v>
      </x:c>
      <x:c r="F86" s="18" t="str">
        <x:v>2025-02-01</x:v>
      </x:c>
      <x:c r="G86" s="18" t="str">
        <x:v>2025-02-28</x:v>
      </x:c>
      <x:c r="H86" s="35" t="n">
        <x:v>28</x:v>
      </x:c>
      <x:c r="I86" s="18"/>
      <x:c r="J86" s="18" t="str">
        <x:v>0000950131-25-001234</x:v>
      </x:c>
      <x:c r="K86" s="18" t="str">
        <x:v>https://www.sec.gov/Archives/edgar/data/2035264/000095013125001234/000095013125001234-index.html</x:v>
      </x:c>
      <x:c r="L86" s="18" t="str">
        <x:v>0001193125-25-063904</x:v>
      </x:c>
      <x:c r="M86" s="18" t="str">
        <x:v>https://www.sec.gov/Archives/edgar/data/2035264/000119312525063904/d673392dex991.htm</x:v>
      </x:c>
      <x:c r="N86" s="22" t="n">
        <x:v>1154694747.06</x:v>
      </x:c>
      <x:c r="O86" s="22" t="n">
        <x:v>1154694747.06</x:v>
      </x:c>
      <x:c r="P86" s="22" t="n">
        <x:v>0</x:v>
      </x:c>
      <x:c r="Q86" s="18" t="str">
        <x:v>TIED</x:v>
      </x:c>
      <x:c r="R86" s="35" t="n">
        <x:v>58478</x:v>
      </x:c>
      <x:c r="S86" s="35" t="n">
        <x:v>58478</x:v>
      </x:c>
      <x:c r="T86" s="18" t="str">
        <x:v>TIED</x:v>
      </x:c>
      <x:c r="U86" s="35" t="n">
        <x:v>35</x:v>
      </x:c>
      <x:c r="V86" s="35" t="n">
        <x:v>37</x:v>
      </x:c>
      <x:c r="W86" s="18" t="str">
        <x:v>MISMATCH</x:v>
      </x:c>
      <x:c r="X86" s="22" t="n">
        <x:v>939798.68</x:v>
      </x:c>
      <x:c r="Y86" s="22" t="n">
        <x:v>939754.02</x:v>
      </x:c>
      <x:c r="Z86" s="18" t="str">
        <x:v>MISMATCH</x:v>
      </x:c>
      <x:c r="AA86" s="35" t="n">
        <x:v>37</x:v>
      </x:c>
      <x:c r="AB86" s="22" t="n">
        <x:v>939798.68</x:v>
      </x:c>
      <x:c r="AC86" s="18" t="str">
        <x:v>TIED</x:v>
      </x:c>
      <x:c r="AD86" s="18" t="str">
        <x:v>MISMATCH</x:v>
      </x:c>
      <x:c r="AE86" s="22" t="n">
        <x:v>164618.8</x:v>
      </x:c>
      <x:c r="AF86" s="18" t="str">
        <x:v>recoveries_of_defaulted_receivables</x:v>
      </x:c>
      <x:c r="AG86" s="22" t="n">
        <x:v>164393.82</x:v>
      </x:c>
      <x:c r="AH86" s="22" t="n">
        <x:v>224.98</x:v>
      </x:c>
      <x:c r="AI86" s="18" t="str">
        <x:v>UNRESOLVED</x:v>
      </x:c>
      <x:c r="AJ86" s="18"/>
      <x:c r="AK86" s="18"/>
      <x:c r="AL86" s="18" t="str">
        <x:v>TIED</x:v>
      </x:c>
      <x:c r="AM86" s="18" t="str">
        <x:v>TIED</x:v>
      </x:c>
      <x:c r="AN86" s="18" t="str">
        <x:v>nissan-31-60-61-90-91-120-over-120</x:v>
      </x:c>
      <x:c r="AO86" s="35" t="n">
        <x:v>8</x:v>
      </x:c>
      <x:c r="AP86" s="18" t="str">
        <x:v>8</x:v>
      </x:c>
      <x:c r="AQ86" s="18" t="str">
        <x:v>recovery_comparator_delta;chargeoff_event_count;chargeoff_amount;first_code4_amount</x:v>
      </x:c>
      <x:c r="AR86" s="18" t="str">
        <x:v>UNRESOLVED</x:v>
      </x:c>
      <x:c r="AS86" s="18" t="str">
        <x:v>No</x:v>
      </x:c>
      <x:c r="AT86" s="18" t="str">
        <x:v>Unresolved deal-specific exception(s): recovery comparator delta, chargeoff event count, chargeoff amount, first code4 amount. See the contract-specific definition and filed sources; no cause is assigned.</x:v>
      </x:c>
    </x:row>
    <x:row r="87" ht="32" customHeight="1">
      <x:c r="A87" s="18" t="str">
        <x:v>nissan-2024-b-surveillance-v1</x:v>
      </x:c>
      <x:c r="B87" s="18" t="str">
        <x:v>NISSAN-2024-B</x:v>
      </x:c>
      <x:c r="C87" s="18" t="str">
        <x:v>Nissan Auto Receivables</x:v>
      </x:c>
      <x:c r="D87" s="18" t="str">
        <x:v>2025-03</x:v>
      </x:c>
      <x:c r="E87" s="18" t="str">
        <x:v>2025-03-31</x:v>
      </x:c>
      <x:c r="F87" s="18" t="str">
        <x:v>2025-03-01</x:v>
      </x:c>
      <x:c r="G87" s="18" t="str">
        <x:v>2025-03-31</x:v>
      </x:c>
      <x:c r="H87" s="35" t="n">
        <x:v>31</x:v>
      </x:c>
      <x:c r="I87" s="18"/>
      <x:c r="J87" s="18" t="str">
        <x:v>0000950131-25-001750</x:v>
      </x:c>
      <x:c r="K87" s="18" t="str">
        <x:v>https://www.sec.gov/Archives/edgar/data/2035264/000095013125001750/000095013125001750-index.html</x:v>
      </x:c>
      <x:c r="L87" s="18" t="str">
        <x:v>0001193125-25-095726</x:v>
      </x:c>
      <x:c r="M87" s="18" t="str">
        <x:v>https://www.sec.gov/Archives/edgar/data/2035264/000119312525095726/d926006dex991.htm</x:v>
      </x:c>
      <x:c r="N87" s="22" t="n">
        <x:v>1103465315.86</x:v>
      </x:c>
      <x:c r="O87" s="22" t="n">
        <x:v>1103465315.86</x:v>
      </x:c>
      <x:c r="P87" s="22" t="n">
        <x:v>0</x:v>
      </x:c>
      <x:c r="Q87" s="18" t="str">
        <x:v>TIED</x:v>
      </x:c>
      <x:c r="R87" s="35" t="n">
        <x:v>56814</x:v>
      </x:c>
      <x:c r="S87" s="35" t="n">
        <x:v>56814</x:v>
      </x:c>
      <x:c r="T87" s="18" t="str">
        <x:v>TIED</x:v>
      </x:c>
      <x:c r="U87" s="35" t="n">
        <x:v>32</x:v>
      </x:c>
      <x:c r="V87" s="35" t="n">
        <x:v>32</x:v>
      </x:c>
      <x:c r="W87" s="18" t="str">
        <x:v>TIED</x:v>
      </x:c>
      <x:c r="X87" s="22" t="n">
        <x:v>712220.89</x:v>
      </x:c>
      <x:c r="Y87" s="22" t="n">
        <x:v>712220.89</x:v>
      </x:c>
      <x:c r="Z87" s="18" t="str">
        <x:v>TIED</x:v>
      </x:c>
      <x:c r="AA87" s="35" t="n">
        <x:v>32</x:v>
      </x:c>
      <x:c r="AB87" s="22" t="n">
        <x:v>712220.89</x:v>
      </x:c>
      <x:c r="AC87" s="18" t="str">
        <x:v>TIED</x:v>
      </x:c>
      <x:c r="AD87" s="18" t="str">
        <x:v>TIED</x:v>
      </x:c>
      <x:c r="AE87" s="22" t="n">
        <x:v>582297.29</x:v>
      </x:c>
      <x:c r="AF87" s="18" t="str">
        <x:v>recoveries_of_defaulted_receivables</x:v>
      </x:c>
      <x:c r="AG87" s="22" t="n">
        <x:v>576703.4</x:v>
      </x:c>
      <x:c r="AH87" s="22" t="n">
        <x:v>5593.89</x:v>
      </x:c>
      <x:c r="AI87" s="18" t="str">
        <x:v>UNRESOLVED</x:v>
      </x:c>
      <x:c r="AJ87" s="18"/>
      <x:c r="AK87" s="18"/>
      <x:c r="AL87" s="18" t="str">
        <x:v>TIED</x:v>
      </x:c>
      <x:c r="AM87" s="18" t="str">
        <x:v>TIED</x:v>
      </x:c>
      <x:c r="AN87" s="18" t="str">
        <x:v>nissan-31-60-61-90-91-120-over-120</x:v>
      </x:c>
      <x:c r="AO87" s="35" t="n">
        <x:v>8</x:v>
      </x:c>
      <x:c r="AP87" s="18" t="str">
        <x:v>8</x:v>
      </x:c>
      <x:c r="AQ87" s="18" t="str">
        <x:v>recovery_comparator_delta</x:v>
      </x:c>
      <x:c r="AR87" s="18" t="str">
        <x:v>UNRESOLVED</x:v>
      </x:c>
      <x:c r="AS87" s="18" t="str">
        <x:v>No</x:v>
      </x:c>
      <x:c r="AT87" s="18" t="str">
        <x:v>Unresolved deal-specific exception(s): recovery comparator delta. See the contract-specific definition and filed sources; no cause is assigned.</x:v>
      </x:c>
    </x:row>
    <x:row r="88" ht="32" customHeight="1">
      <x:c r="A88" s="18" t="str">
        <x:v>nissan-2024-b-surveillance-v1</x:v>
      </x:c>
      <x:c r="B88" s="18" t="str">
        <x:v>NISSAN-2024-B</x:v>
      </x:c>
      <x:c r="C88" s="18" t="str">
        <x:v>Nissan Auto Receivables</x:v>
      </x:c>
      <x:c r="D88" s="18" t="str">
        <x:v>2025-04</x:v>
      </x:c>
      <x:c r="E88" s="18" t="str">
        <x:v>2025-04-30</x:v>
      </x:c>
      <x:c r="F88" s="18" t="str">
        <x:v>2025-04-01</x:v>
      </x:c>
      <x:c r="G88" s="18" t="str">
        <x:v>2025-04-30</x:v>
      </x:c>
      <x:c r="H88" s="35" t="n">
        <x:v>30</x:v>
      </x:c>
      <x:c r="I88" s="18"/>
      <x:c r="J88" s="18" t="str">
        <x:v>0000950131-25-002164</x:v>
      </x:c>
      <x:c r="K88" s="18" t="str">
        <x:v>https://www.sec.gov/Archives/edgar/data/2035264/000095013125002164/000095013125002164-index.html</x:v>
      </x:c>
      <x:c r="L88" s="18" t="str">
        <x:v>0001193125-25-127141</x:v>
      </x:c>
      <x:c r="M88" s="18" t="str">
        <x:v>https://www.sec.gov/Archives/edgar/data/2035264/000119312525127141/d930296dex991.htm</x:v>
      </x:c>
      <x:c r="N88" s="22" t="n">
        <x:v>1054161963.93</x:v>
      </x:c>
      <x:c r="O88" s="22" t="n">
        <x:v>1054161963.93</x:v>
      </x:c>
      <x:c r="P88" s="22" t="n">
        <x:v>0</x:v>
      </x:c>
      <x:c r="Q88" s="18" t="str">
        <x:v>TIED</x:v>
      </x:c>
      <x:c r="R88" s="35" t="n">
        <x:v>55486</x:v>
      </x:c>
      <x:c r="S88" s="35" t="n">
        <x:v>55486</x:v>
      </x:c>
      <x:c r="T88" s="18" t="str">
        <x:v>TIED</x:v>
      </x:c>
      <x:c r="U88" s="35" t="n">
        <x:v>24</x:v>
      </x:c>
      <x:c r="V88" s="35" t="n">
        <x:v>24</x:v>
      </x:c>
      <x:c r="W88" s="18" t="str">
        <x:v>TIED</x:v>
      </x:c>
      <x:c r="X88" s="22" t="n">
        <x:v>500582.97</x:v>
      </x:c>
      <x:c r="Y88" s="22" t="n">
        <x:v>500582.97</x:v>
      </x:c>
      <x:c r="Z88" s="18" t="str">
        <x:v>TIED</x:v>
      </x:c>
      <x:c r="AA88" s="35" t="n">
        <x:v>24</x:v>
      </x:c>
      <x:c r="AB88" s="22" t="n">
        <x:v>500582.97</x:v>
      </x:c>
      <x:c r="AC88" s="18" t="str">
        <x:v>TIED</x:v>
      </x:c>
      <x:c r="AD88" s="18" t="str">
        <x:v>TIED</x:v>
      </x:c>
      <x:c r="AE88" s="22" t="n">
        <x:v>370616.12</x:v>
      </x:c>
      <x:c r="AF88" s="18" t="str">
        <x:v>recoveries_of_defaulted_receivables</x:v>
      </x:c>
      <x:c r="AG88" s="22" t="n">
        <x:v>369451.11</x:v>
      </x:c>
      <x:c r="AH88" s="22" t="n">
        <x:v>1165.01</x:v>
      </x:c>
      <x:c r="AI88" s="18" t="str">
        <x:v>UNRESOLVED</x:v>
      </x:c>
      <x:c r="AJ88" s="18"/>
      <x:c r="AK88" s="18"/>
      <x:c r="AL88" s="18" t="str">
        <x:v>TIED</x:v>
      </x:c>
      <x:c r="AM88" s="18" t="str">
        <x:v>TIED</x:v>
      </x:c>
      <x:c r="AN88" s="18" t="str">
        <x:v>nissan-31-60-61-90-91-120-over-120</x:v>
      </x:c>
      <x:c r="AO88" s="35" t="n">
        <x:v>8</x:v>
      </x:c>
      <x:c r="AP88" s="18" t="str">
        <x:v>8</x:v>
      </x:c>
      <x:c r="AQ88" s="18" t="str">
        <x:v>recovery_comparator_delta</x:v>
      </x:c>
      <x:c r="AR88" s="18" t="str">
        <x:v>UNRESOLVED</x:v>
      </x:c>
      <x:c r="AS88" s="18" t="str">
        <x:v>No</x:v>
      </x:c>
      <x:c r="AT88" s="18" t="str">
        <x:v>Unresolved deal-specific exception(s): recovery comparator delta. See the contract-specific definition and filed sources; no cause is assigned.</x:v>
      </x:c>
    </x:row>
    <x:row r="89" ht="32" customHeight="1">
      <x:c r="A89" s="18" t="str">
        <x:v>nissan-2024-b-surveillance-v1</x:v>
      </x:c>
      <x:c r="B89" s="18" t="str">
        <x:v>NISSAN-2024-B</x:v>
      </x:c>
      <x:c r="C89" s="18" t="str">
        <x:v>Nissan Auto Receivables</x:v>
      </x:c>
      <x:c r="D89" s="18" t="str">
        <x:v>2025-05</x:v>
      </x:c>
      <x:c r="E89" s="18" t="str">
        <x:v>2025-05-31</x:v>
      </x:c>
      <x:c r="F89" s="18" t="str">
        <x:v>2025-05-01</x:v>
      </x:c>
      <x:c r="G89" s="18" t="str">
        <x:v>2025-05-31</x:v>
      </x:c>
      <x:c r="H89" s="35" t="n">
        <x:v>31</x:v>
      </x:c>
      <x:c r="I89" s="18"/>
      <x:c r="J89" s="18" t="str">
        <x:v>0000950131-25-002597</x:v>
      </x:c>
      <x:c r="K89" s="18" t="str">
        <x:v>https://www.sec.gov/Archives/edgar/data/2035264/000095013125002597/000095013125002597-index.html</x:v>
      </x:c>
      <x:c r="L89" s="18" t="str">
        <x:v>0001193125-25-148626</x:v>
      </x:c>
      <x:c r="M89" s="18" t="str">
        <x:v>https://www.sec.gov/Archives/edgar/data/2035264/000119312525148626/d24586dex991.htm</x:v>
      </x:c>
      <x:c r="N89" s="22" t="n">
        <x:v>1007456844.6</x:v>
      </x:c>
      <x:c r="O89" s="22" t="n">
        <x:v>1007456844.6</x:v>
      </x:c>
      <x:c r="P89" s="22" t="n">
        <x:v>0</x:v>
      </x:c>
      <x:c r="Q89" s="18" t="str">
        <x:v>TIED</x:v>
      </x:c>
      <x:c r="R89" s="35" t="n">
        <x:v>54286</x:v>
      </x:c>
      <x:c r="S89" s="35" t="n">
        <x:v>54286</x:v>
      </x:c>
      <x:c r="T89" s="18" t="str">
        <x:v>TIED</x:v>
      </x:c>
      <x:c r="U89" s="35" t="n">
        <x:v>31</x:v>
      </x:c>
      <x:c r="V89" s="35" t="n">
        <x:v>31</x:v>
      </x:c>
      <x:c r="W89" s="18" t="str">
        <x:v>TIED</x:v>
      </x:c>
      <x:c r="X89" s="22" t="n">
        <x:v>744363.17</x:v>
      </x:c>
      <x:c r="Y89" s="22" t="n">
        <x:v>744363.17</x:v>
      </x:c>
      <x:c r="Z89" s="18" t="str">
        <x:v>TIED</x:v>
      </x:c>
      <x:c r="AA89" s="35" t="n">
        <x:v>31</x:v>
      </x:c>
      <x:c r="AB89" s="22" t="n">
        <x:v>744363.17</x:v>
      </x:c>
      <x:c r="AC89" s="18" t="str">
        <x:v>TIED</x:v>
      </x:c>
      <x:c r="AD89" s="18" t="str">
        <x:v>TIED</x:v>
      </x:c>
      <x:c r="AE89" s="22" t="n">
        <x:v>354135.17</x:v>
      </x:c>
      <x:c r="AF89" s="18" t="str">
        <x:v>recoveries_of_defaulted_receivables</x:v>
      </x:c>
      <x:c r="AG89" s="22" t="n">
        <x:v>352433.41</x:v>
      </x:c>
      <x:c r="AH89" s="22" t="n">
        <x:v>1701.76</x:v>
      </x:c>
      <x:c r="AI89" s="18" t="str">
        <x:v>UNRESOLVED</x:v>
      </x:c>
      <x:c r="AJ89" s="18"/>
      <x:c r="AK89" s="18"/>
      <x:c r="AL89" s="18" t="str">
        <x:v>TIED</x:v>
      </x:c>
      <x:c r="AM89" s="18" t="str">
        <x:v>TIED</x:v>
      </x:c>
      <x:c r="AN89" s="18" t="str">
        <x:v>nissan-31-60-61-90-91-120-over-120</x:v>
      </x:c>
      <x:c r="AO89" s="35" t="n">
        <x:v>8</x:v>
      </x:c>
      <x:c r="AP89" s="18" t="str">
        <x:v>8</x:v>
      </x:c>
      <x:c r="AQ89" s="18" t="str">
        <x:v>recovery_comparator_delta</x:v>
      </x:c>
      <x:c r="AR89" s="18" t="str">
        <x:v>UNRESOLVED</x:v>
      </x:c>
      <x:c r="AS89" s="18" t="str">
        <x:v>No</x:v>
      </x:c>
      <x:c r="AT89" s="18" t="str">
        <x:v>Unresolved deal-specific exception(s): recovery comparator delta. See the contract-specific definition and filed sources; no cause is assigned.</x:v>
      </x:c>
    </x:row>
    <x:row r="90" ht="32" customHeight="1">
      <x:c r="A90" s="18" t="str">
        <x:v>nissan-2024-b-surveillance-v1</x:v>
      </x:c>
      <x:c r="B90" s="18" t="str">
        <x:v>NISSAN-2024-B</x:v>
      </x:c>
      <x:c r="C90" s="18" t="str">
        <x:v>Nissan Auto Receivables</x:v>
      </x:c>
      <x:c r="D90" s="18" t="str">
        <x:v>2025-06</x:v>
      </x:c>
      <x:c r="E90" s="18" t="str">
        <x:v>2025-06-30</x:v>
      </x:c>
      <x:c r="F90" s="18" t="str">
        <x:v>2025-06-01</x:v>
      </x:c>
      <x:c r="G90" s="18" t="str">
        <x:v>2025-06-30</x:v>
      </x:c>
      <x:c r="H90" s="35" t="n">
        <x:v>30</x:v>
      </x:c>
      <x:c r="I90" s="18"/>
      <x:c r="J90" s="18" t="str">
        <x:v>0000950131-25-003013</x:v>
      </x:c>
      <x:c r="K90" s="18" t="str">
        <x:v>https://www.sec.gov/Archives/edgar/data/2035264/000095013125003013/000095013125003013-index.html</x:v>
      </x:c>
      <x:c r="L90" s="18" t="str">
        <x:v>0001193125-25-166251</x:v>
      </x:c>
      <x:c r="M90" s="18" t="str">
        <x:v>https://www.sec.gov/Archives/edgar/data/2035264/000119312525166251/d44534dex991.htm</x:v>
      </x:c>
      <x:c r="N90" s="22" t="n">
        <x:v>963283716.05</x:v>
      </x:c>
      <x:c r="O90" s="22" t="n">
        <x:v>963283716.05</x:v>
      </x:c>
      <x:c r="P90" s="22" t="n">
        <x:v>0</x:v>
      </x:c>
      <x:c r="Q90" s="18" t="str">
        <x:v>TIED</x:v>
      </x:c>
      <x:c r="R90" s="35" t="n">
        <x:v>53087</x:v>
      </x:c>
      <x:c r="S90" s="35" t="n">
        <x:v>53087</x:v>
      </x:c>
      <x:c r="T90" s="18" t="str">
        <x:v>TIED</x:v>
      </x:c>
      <x:c r="U90" s="35" t="n">
        <x:v>35</x:v>
      </x:c>
      <x:c r="V90" s="35" t="n">
        <x:v>35</x:v>
      </x:c>
      <x:c r="W90" s="18" t="str">
        <x:v>TIED</x:v>
      </x:c>
      <x:c r="X90" s="22" t="n">
        <x:v>714186.05</x:v>
      </x:c>
      <x:c r="Y90" s="22" t="n">
        <x:v>714186.05</x:v>
      </x:c>
      <x:c r="Z90" s="18" t="str">
        <x:v>TIED</x:v>
      </x:c>
      <x:c r="AA90" s="35" t="n">
        <x:v>35</x:v>
      </x:c>
      <x:c r="AB90" s="22" t="n">
        <x:v>714186.05</x:v>
      </x:c>
      <x:c r="AC90" s="18" t="str">
        <x:v>TIED</x:v>
      </x:c>
      <x:c r="AD90" s="18" t="str">
        <x:v>TIED</x:v>
      </x:c>
      <x:c r="AE90" s="22" t="n">
        <x:v>264787.07</x:v>
      </x:c>
      <x:c r="AF90" s="18" t="str">
        <x:v>recoveries_of_defaulted_receivables</x:v>
      </x:c>
      <x:c r="AG90" s="22" t="n">
        <x:v>264787.07</x:v>
      </x:c>
      <x:c r="AH90" s="22" t="n">
        <x:v>0</x:v>
      </x:c>
      <x:c r="AI90" s="18" t="str">
        <x:v>TIED</x:v>
      </x:c>
      <x:c r="AJ90" s="18"/>
      <x:c r="AK90" s="18"/>
      <x:c r="AL90" s="18" t="str">
        <x:v>TIED</x:v>
      </x:c>
      <x:c r="AM90" s="18" t="str">
        <x:v>TIED</x:v>
      </x:c>
      <x:c r="AN90" s="18" t="str">
        <x:v>nissan-31-60-61-90-91-120-over-120</x:v>
      </x:c>
      <x:c r="AO90" s="35" t="n">
        <x:v>2</x:v>
      </x:c>
      <x:c r="AP90" s="18" t="str">
        <x:v>8</x:v>
      </x:c>
      <x:c r="AQ90" s="18" t="str">
        <x:v>literal_dpd_bucket</x:v>
      </x:c>
      <x:c r="AR90" s="18" t="str">
        <x:v>UNRESOLVED</x:v>
      </x:c>
      <x:c r="AS90" s="18" t="str">
        <x:v>No</x:v>
      </x:c>
      <x:c r="AT90" s="18" t="str">
        <x:v>Unresolved deal-specific exception(s): literal dpd bucket. See the contract-specific definition and filed sources; no cause is assigned.</x:v>
      </x:c>
    </x:row>
    <x:row r="91" ht="32" customHeight="1">
      <x:c r="A91" s="18" t="str">
        <x:v>nissan-2024-b-surveillance-v1</x:v>
      </x:c>
      <x:c r="B91" s="18" t="str">
        <x:v>NISSAN-2024-B</x:v>
      </x:c>
      <x:c r="C91" s="18" t="str">
        <x:v>Nissan Auto Receivables</x:v>
      </x:c>
      <x:c r="D91" s="18" t="str">
        <x:v>2025-07</x:v>
      </x:c>
      <x:c r="E91" s="18" t="str">
        <x:v>2025-07-31</x:v>
      </x:c>
      <x:c r="F91" s="18" t="str">
        <x:v>2025-07-01</x:v>
      </x:c>
      <x:c r="G91" s="18" t="str">
        <x:v>2025-07-31</x:v>
      </x:c>
      <x:c r="H91" s="35" t="n">
        <x:v>31</x:v>
      </x:c>
      <x:c r="I91" s="18"/>
      <x:c r="J91" s="18" t="str">
        <x:v>0000950131-25-003344</x:v>
      </x:c>
      <x:c r="K91" s="18" t="str">
        <x:v>https://www.sec.gov/Archives/edgar/data/2035264/000095013125003344/000095013125003344-index.html</x:v>
      </x:c>
      <x:c r="L91" s="18" t="str">
        <x:v>0001193125-25-187356</x:v>
      </x:c>
      <x:c r="M91" s="18" t="str">
        <x:v>https://www.sec.gov/Archives/edgar/data/2035264/000119312525187356/d930039dex991.htm</x:v>
      </x:c>
      <x:c r="N91" s="22" t="n">
        <x:v>915845090.38</x:v>
      </x:c>
      <x:c r="O91" s="22" t="n">
        <x:v>915845090.38</x:v>
      </x:c>
      <x:c r="P91" s="22" t="n">
        <x:v>0</x:v>
      </x:c>
      <x:c r="Q91" s="18" t="str">
        <x:v>TIED</x:v>
      </x:c>
      <x:c r="R91" s="35" t="n">
        <x:v>51798</x:v>
      </x:c>
      <x:c r="S91" s="35" t="n">
        <x:v>51798</x:v>
      </x:c>
      <x:c r="T91" s="18" t="str">
        <x:v>TIED</x:v>
      </x:c>
      <x:c r="U91" s="35" t="n">
        <x:v>36</x:v>
      </x:c>
      <x:c r="V91" s="35" t="n">
        <x:v>1</x:v>
      </x:c>
      <x:c r="W91" s="18" t="str">
        <x:v>MISMATCH</x:v>
      </x:c>
      <x:c r="X91" s="22" t="n">
        <x:v>655185.56</x:v>
      </x:c>
      <x:c r="Y91" s="22" t="n">
        <x:v>-59000.49</x:v>
      </x:c>
      <x:c r="Z91" s="18" t="str">
        <x:v>MISMATCH</x:v>
      </x:c>
      <x:c r="AA91" s="35" t="n">
        <x:v>33</x:v>
      </x:c>
      <x:c r="AB91" s="22" t="n">
        <x:v>577420.34</x:v>
      </x:c>
      <x:c r="AC91" s="18" t="str">
        <x:v>MISMATCH</x:v>
      </x:c>
      <x:c r="AD91" s="18" t="str">
        <x:v>MISMATCH</x:v>
      </x:c>
      <x:c r="AE91" s="22" t="n">
        <x:v>257636.52</x:v>
      </x:c>
      <x:c r="AF91" s="18" t="str">
        <x:v>recoveries_of_defaulted_receivables</x:v>
      </x:c>
      <x:c r="AG91" s="22" t="n">
        <x:v>257636.52</x:v>
      </x:c>
      <x:c r="AH91" s="22" t="n">
        <x:v>0</x:v>
      </x:c>
      <x:c r="AI91" s="18" t="str">
        <x:v>TIED</x:v>
      </x:c>
      <x:c r="AJ91" s="18"/>
      <x:c r="AK91" s="18"/>
      <x:c r="AL91" s="18" t="str">
        <x:v>TIED</x:v>
      </x:c>
      <x:c r="AM91" s="18" t="str">
        <x:v>TIED</x:v>
      </x:c>
      <x:c r="AN91" s="18" t="str">
        <x:v>nissan-31-60-61-90-91-120-over-120</x:v>
      </x:c>
      <x:c r="AO91" s="35" t="n">
        <x:v>8</x:v>
      </x:c>
      <x:c r="AP91" s="18" t="str">
        <x:v>8</x:v>
      </x:c>
      <x:c r="AQ91" s="18" t="str">
        <x:v>chargeoff_event_count;chargeoff_amount;first_code4_event_count;first_code4_amount</x:v>
      </x:c>
      <x:c r="AR91" s="18" t="str">
        <x:v>UNRESOLVED</x:v>
      </x:c>
      <x:c r="AS91" s="18" t="str">
        <x:v>No</x:v>
      </x:c>
      <x:c r="AT91" s="18" t="str">
        <x:v>Unresolved deal-specific exception(s): chargeoff event count, chargeoff amount, first code4 event count, first code4 amount. See the contract-specific definition and filed sources; no cause is assigned.</x:v>
      </x:c>
    </x:row>
    <x:row r="92" ht="32" customHeight="1">
      <x:c r="A92" s="18" t="str">
        <x:v>nissan-2024-b-surveillance-v1</x:v>
      </x:c>
      <x:c r="B92" s="18" t="str">
        <x:v>NISSAN-2024-B</x:v>
      </x:c>
      <x:c r="C92" s="18" t="str">
        <x:v>Nissan Auto Receivables</x:v>
      </x:c>
      <x:c r="D92" s="18" t="str">
        <x:v>2025-08</x:v>
      </x:c>
      <x:c r="E92" s="18" t="str">
        <x:v>2025-08-31</x:v>
      </x:c>
      <x:c r="F92" s="18" t="str">
        <x:v>2025-08-01</x:v>
      </x:c>
      <x:c r="G92" s="18" t="str">
        <x:v>2025-08-31</x:v>
      </x:c>
      <x:c r="H92" s="35" t="n">
        <x:v>31</x:v>
      </x:c>
      <x:c r="I92" s="18"/>
      <x:c r="J92" s="18" t="str">
        <x:v>0001193125-25-215247</x:v>
      </x:c>
      <x:c r="K92" s="18" t="str">
        <x:v>https://www.sec.gov/Archives/edgar/data/2035264/000119312525215247/000119312525215247-index.html</x:v>
      </x:c>
      <x:c r="L92" s="18" t="str">
        <x:v>0001193125-25-219851</x:v>
      </x:c>
      <x:c r="M92" s="18" t="str">
        <x:v>https://www.sec.gov/Archives/edgar/data/2035264/000119312525219851/d34638dex991.htm</x:v>
      </x:c>
      <x:c r="N92" s="22" t="n">
        <x:v>871829374.42</x:v>
      </x:c>
      <x:c r="O92" s="22" t="n">
        <x:v>871829374.42</x:v>
      </x:c>
      <x:c r="P92" s="22" t="n">
        <x:v>0</x:v>
      </x:c>
      <x:c r="Q92" s="18" t="str">
        <x:v>TIED</x:v>
      </x:c>
      <x:c r="R92" s="35" t="n">
        <x:v>50625</x:v>
      </x:c>
      <x:c r="S92" s="35" t="n">
        <x:v>50625</x:v>
      </x:c>
      <x:c r="T92" s="18" t="str">
        <x:v>TIED</x:v>
      </x:c>
      <x:c r="U92" s="35" t="n">
        <x:v>54</x:v>
      </x:c>
      <x:c r="V92" s="35" t="n">
        <x:v>54</x:v>
      </x:c>
      <x:c r="W92" s="18" t="str">
        <x:v>TIED</x:v>
      </x:c>
      <x:c r="X92" s="22" t="n">
        <x:v>860007.75</x:v>
      </x:c>
      <x:c r="Y92" s="22" t="n">
        <x:v>860007.75</x:v>
      </x:c>
      <x:c r="Z92" s="18" t="str">
        <x:v>TIED</x:v>
      </x:c>
      <x:c r="AA92" s="35" t="n">
        <x:v>24</x:v>
      </x:c>
      <x:c r="AB92" s="22" t="n">
        <x:v>337398.82</x:v>
      </x:c>
      <x:c r="AC92" s="18" t="str">
        <x:v>MISMATCH</x:v>
      </x:c>
      <x:c r="AD92" s="18" t="str">
        <x:v>MISMATCH</x:v>
      </x:c>
      <x:c r="AE92" s="22" t="n">
        <x:v>201044.28</x:v>
      </x:c>
      <x:c r="AF92" s="18" t="str">
        <x:v>recoveries_of_defaulted_receivables</x:v>
      </x:c>
      <x:c r="AG92" s="22" t="n">
        <x:v>201044.28</x:v>
      </x:c>
      <x:c r="AH92" s="22" t="n">
        <x:v>0</x:v>
      </x:c>
      <x:c r="AI92" s="18" t="str">
        <x:v>TIED</x:v>
      </x:c>
      <x:c r="AJ92" s="18"/>
      <x:c r="AK92" s="18"/>
      <x:c r="AL92" s="18" t="str">
        <x:v>TIED</x:v>
      </x:c>
      <x:c r="AM92" s="18" t="str">
        <x:v>TIED</x:v>
      </x:c>
      <x:c r="AN92" s="18" t="str">
        <x:v>nissan-31-60-61-90-91-120-over-120</x:v>
      </x:c>
      <x:c r="AO92" s="35" t="n">
        <x:v>8</x:v>
      </x:c>
      <x:c r="AP92" s="18" t="str">
        <x:v>8</x:v>
      </x:c>
      <x:c r="AQ92" s="18" t="str">
        <x:v>first_code4_event_count;first_code4_amount</x:v>
      </x:c>
      <x:c r="AR92" s="18" t="str">
        <x:v>UNRESOLVED</x:v>
      </x:c>
      <x:c r="AS92" s="18" t="str">
        <x:v>No</x:v>
      </x:c>
      <x:c r="AT92" s="18" t="str">
        <x:v>Unresolved deal-specific exception(s): first code4 event count, first code4 amount. See the contract-specific definition and filed sources; no cause is assigned.</x:v>
      </x:c>
    </x:row>
    <x:row r="93" ht="32" customHeight="1">
      <x:c r="A93" s="18" t="str">
        <x:v>nissan-2024-b-surveillance-v1</x:v>
      </x:c>
      <x:c r="B93" s="18" t="str">
        <x:v>NISSAN-2024-B</x:v>
      </x:c>
      <x:c r="C93" s="18" t="str">
        <x:v>Nissan Auto Receivables</x:v>
      </x:c>
      <x:c r="D93" s="18" t="str">
        <x:v>2025-09</x:v>
      </x:c>
      <x:c r="E93" s="18" t="str">
        <x:v>2025-09-30</x:v>
      </x:c>
      <x:c r="F93" s="18" t="str">
        <x:v>2025-09-01</x:v>
      </x:c>
      <x:c r="G93" s="18" t="str">
        <x:v>2025-09-30</x:v>
      </x:c>
      <x:c r="H93" s="35" t="n">
        <x:v>30</x:v>
      </x:c>
      <x:c r="I93" s="18"/>
      <x:c r="J93" s="18" t="str">
        <x:v>0001193125-25-247033</x:v>
      </x:c>
      <x:c r="K93" s="18" t="str">
        <x:v>https://www.sec.gov/Archives/edgar/data/2035264/000119312525247033/000119312525247033-index.html</x:v>
      </x:c>
      <x:c r="L93" s="18" t="str">
        <x:v>0001193125-25-249821</x:v>
      </x:c>
      <x:c r="M93" s="18" t="str">
        <x:v>https://www.sec.gov/Archives/edgar/data/2035264/000119312525249821/d167374dex991.htm</x:v>
      </x:c>
      <x:c r="N93" s="22" t="n">
        <x:v>826908956.08</x:v>
      </x:c>
      <x:c r="O93" s="22" t="n">
        <x:v>826908956.08</x:v>
      </x:c>
      <x:c r="P93" s="22" t="n">
        <x:v>0</x:v>
      </x:c>
      <x:c r="Q93" s="18" t="str">
        <x:v>TIED</x:v>
      </x:c>
      <x:c r="R93" s="35" t="n">
        <x:v>49372</x:v>
      </x:c>
      <x:c r="S93" s="35" t="n">
        <x:v>49372</x:v>
      </x:c>
      <x:c r="T93" s="18" t="str">
        <x:v>TIED</x:v>
      </x:c>
      <x:c r="U93" s="35" t="n">
        <x:v>44</x:v>
      </x:c>
      <x:c r="V93" s="35" t="n">
        <x:v>44</x:v>
      </x:c>
      <x:c r="W93" s="18" t="str">
        <x:v>TIED</x:v>
      </x:c>
      <x:c r="X93" s="22" t="n">
        <x:v>847949.31</x:v>
      </x:c>
      <x:c r="Y93" s="22" t="n">
        <x:v>847949.31</x:v>
      </x:c>
      <x:c r="Z93" s="18" t="str">
        <x:v>TIED</x:v>
      </x:c>
      <x:c r="AA93" s="35" t="n">
        <x:v>44</x:v>
      </x:c>
      <x:c r="AB93" s="22" t="n">
        <x:v>847949.31</x:v>
      </x:c>
      <x:c r="AC93" s="18" t="str">
        <x:v>TIED</x:v>
      </x:c>
      <x:c r="AD93" s="18" t="str">
        <x:v>TIED</x:v>
      </x:c>
      <x:c r="AE93" s="22" t="n">
        <x:v>319706.28</x:v>
      </x:c>
      <x:c r="AF93" s="18" t="str">
        <x:v>recoveries_of_defaulted_receivables</x:v>
      </x:c>
      <x:c r="AG93" s="22" t="n">
        <x:v>319706.28</x:v>
      </x:c>
      <x:c r="AH93" s="22" t="n">
        <x:v>0</x:v>
      </x:c>
      <x:c r="AI93" s="18" t="str">
        <x:v>TIED</x:v>
      </x:c>
      <x:c r="AJ93" s="18"/>
      <x:c r="AK93" s="18"/>
      <x:c r="AL93" s="18" t="str">
        <x:v>TIED</x:v>
      </x:c>
      <x:c r="AM93" s="18" t="str">
        <x:v>TIED</x:v>
      </x:c>
      <x:c r="AN93" s="18" t="str">
        <x:v>nissan-31-60-61-90-91-120-over-120</x:v>
      </x:c>
      <x:c r="AO93" s="35" t="n">
        <x:v>8</x:v>
      </x:c>
      <x:c r="AP93" s="18" t="str">
        <x:v>8</x:v>
      </x:c>
      <x:c r="AQ93" s="18"/>
      <x:c r="AR93" s="18" t="str">
        <x:v>NO_EXCEPTION_IN_RELEASE_SCOPE</x:v>
      </x:c>
      <x:c r="AS93" s="18" t="str">
        <x:v>No</x:v>
      </x:c>
      <x:c r="AT93" s="18"/>
    </x:row>
    <x:row r="94" ht="32" customHeight="1">
      <x:c r="A94" s="18" t="str">
        <x:v>nissan-2024-b-surveillance-v1</x:v>
      </x:c>
      <x:c r="B94" s="18" t="str">
        <x:v>NISSAN-2024-B</x:v>
      </x:c>
      <x:c r="C94" s="18" t="str">
        <x:v>Nissan Auto Receivables</x:v>
      </x:c>
      <x:c r="D94" s="18" t="str">
        <x:v>2025-10</x:v>
      </x:c>
      <x:c r="E94" s="18" t="str">
        <x:v>2025-10-31</x:v>
      </x:c>
      <x:c r="F94" s="18" t="str">
        <x:v>2025-10-01</x:v>
      </x:c>
      <x:c r="G94" s="18" t="str">
        <x:v>2025-10-31</x:v>
      </x:c>
      <x:c r="H94" s="35" t="n">
        <x:v>31</x:v>
      </x:c>
      <x:c r="I94" s="18"/>
      <x:c r="J94" s="18" t="str">
        <x:v>0001193125-25-287243</x:v>
      </x:c>
      <x:c r="K94" s="18" t="str">
        <x:v>https://www.sec.gov/Archives/edgar/data/2035264/000119312525287243/000119312525287243-index.html</x:v>
      </x:c>
      <x:c r="L94" s="18" t="str">
        <x:v>0001193125-25-293600</x:v>
      </x:c>
      <x:c r="M94" s="18" t="str">
        <x:v>https://www.sec.gov/Archives/edgar/data/2035264/000119312525293600/d74944dex991.htm</x:v>
      </x:c>
      <x:c r="N94" s="22" t="n">
        <x:v>784671431.4</x:v>
      </x:c>
      <x:c r="O94" s="22" t="n">
        <x:v>784671431.4</x:v>
      </x:c>
      <x:c r="P94" s="22" t="n">
        <x:v>0</x:v>
      </x:c>
      <x:c r="Q94" s="18" t="str">
        <x:v>TIED</x:v>
      </x:c>
      <x:c r="R94" s="35" t="n">
        <x:v>48105</x:v>
      </x:c>
      <x:c r="S94" s="35" t="n">
        <x:v>48105</x:v>
      </x:c>
      <x:c r="T94" s="18" t="str">
        <x:v>TIED</x:v>
      </x:c>
      <x:c r="U94" s="35" t="n">
        <x:v>34</x:v>
      </x:c>
      <x:c r="V94" s="35" t="n">
        <x:v>34</x:v>
      </x:c>
      <x:c r="W94" s="18" t="str">
        <x:v>TIED</x:v>
      </x:c>
      <x:c r="X94" s="22" t="n">
        <x:v>768586.53</x:v>
      </x:c>
      <x:c r="Y94" s="22" t="n">
        <x:v>768586.53</x:v>
      </x:c>
      <x:c r="Z94" s="18" t="str">
        <x:v>TIED</x:v>
      </x:c>
      <x:c r="AA94" s="35" t="n">
        <x:v>34</x:v>
      </x:c>
      <x:c r="AB94" s="22" t="n">
        <x:v>768586.53</x:v>
      </x:c>
      <x:c r="AC94" s="18" t="str">
        <x:v>TIED</x:v>
      </x:c>
      <x:c r="AD94" s="18" t="str">
        <x:v>TIED</x:v>
      </x:c>
      <x:c r="AE94" s="22" t="n">
        <x:v>628951.2</x:v>
      </x:c>
      <x:c r="AF94" s="18" t="str">
        <x:v>recoveries_of_defaulted_receivables</x:v>
      </x:c>
      <x:c r="AG94" s="22" t="n">
        <x:v>628951.2</x:v>
      </x:c>
      <x:c r="AH94" s="22" t="n">
        <x:v>0</x:v>
      </x:c>
      <x:c r="AI94" s="18" t="str">
        <x:v>TIED</x:v>
      </x:c>
      <x:c r="AJ94" s="18"/>
      <x:c r="AK94" s="18"/>
      <x:c r="AL94" s="18" t="str">
        <x:v>TIED</x:v>
      </x:c>
      <x:c r="AM94" s="18" t="str">
        <x:v>TIED</x:v>
      </x:c>
      <x:c r="AN94" s="18" t="str">
        <x:v>nissan-31-60-61-90-91-120-over-120</x:v>
      </x:c>
      <x:c r="AO94" s="35" t="n">
        <x:v>8</x:v>
      </x:c>
      <x:c r="AP94" s="18" t="str">
        <x:v>8</x:v>
      </x:c>
      <x:c r="AQ94" s="18"/>
      <x:c r="AR94" s="18" t="str">
        <x:v>NO_EXCEPTION_IN_RELEASE_SCOPE</x:v>
      </x:c>
      <x:c r="AS94" s="18" t="str">
        <x:v>No</x:v>
      </x:c>
      <x:c r="AT94" s="18"/>
    </x:row>
    <x:row r="95" ht="32" customHeight="1">
      <x:c r="A95" s="18" t="str">
        <x:v>nissan-2024-b-surveillance-v1</x:v>
      </x:c>
      <x:c r="B95" s="18" t="str">
        <x:v>NISSAN-2024-B</x:v>
      </x:c>
      <x:c r="C95" s="18" t="str">
        <x:v>Nissan Auto Receivables</x:v>
      </x:c>
      <x:c r="D95" s="18" t="str">
        <x:v>2025-11</x:v>
      </x:c>
      <x:c r="E95" s="18" t="str">
        <x:v>2025-11-30</x:v>
      </x:c>
      <x:c r="F95" s="18" t="str">
        <x:v>2025-11-01</x:v>
      </x:c>
      <x:c r="G95" s="18" t="str">
        <x:v>2025-11-30</x:v>
      </x:c>
      <x:c r="H95" s="35" t="n">
        <x:v>30</x:v>
      </x:c>
      <x:c r="I95" s="18"/>
      <x:c r="J95" s="18" t="str">
        <x:v>0001193125-25-321961</x:v>
      </x:c>
      <x:c r="K95" s="18" t="str">
        <x:v>https://www.sec.gov/Archives/edgar/data/2035264/000119312525321961/000119312525321961-index.html</x:v>
      </x:c>
      <x:c r="L95" s="18" t="str">
        <x:v>0001193125-25-328566</x:v>
      </x:c>
      <x:c r="M95" s="18" t="str">
        <x:v>https://www.sec.gov/Archives/edgar/data/2035264/000119312525328566/d58705dex991.htm</x:v>
      </x:c>
      <x:c r="N95" s="22" t="n">
        <x:v>748939262.48</x:v>
      </x:c>
      <x:c r="O95" s="22" t="n">
        <x:v>748939262.48</x:v>
      </x:c>
      <x:c r="P95" s="22" t="n">
        <x:v>0</x:v>
      </x:c>
      <x:c r="Q95" s="18" t="str">
        <x:v>TIED</x:v>
      </x:c>
      <x:c r="R95" s="35" t="n">
        <x:v>47022</x:v>
      </x:c>
      <x:c r="S95" s="35" t="n">
        <x:v>47022</x:v>
      </x:c>
      <x:c r="T95" s="18" t="str">
        <x:v>TIED</x:v>
      </x:c>
      <x:c r="U95" s="35" t="n">
        <x:v>27</x:v>
      </x:c>
      <x:c r="V95" s="35" t="n">
        <x:v>27</x:v>
      </x:c>
      <x:c r="W95" s="18" t="str">
        <x:v>TIED</x:v>
      </x:c>
      <x:c r="X95" s="22" t="n">
        <x:v>507662.28</x:v>
      </x:c>
      <x:c r="Y95" s="22" t="n">
        <x:v>507662.28</x:v>
      </x:c>
      <x:c r="Z95" s="18" t="str">
        <x:v>TIED</x:v>
      </x:c>
      <x:c r="AA95" s="35" t="n">
        <x:v>27</x:v>
      </x:c>
      <x:c r="AB95" s="22" t="n">
        <x:v>507662.28</x:v>
      </x:c>
      <x:c r="AC95" s="18" t="str">
        <x:v>TIED</x:v>
      </x:c>
      <x:c r="AD95" s="18" t="str">
        <x:v>TIED</x:v>
      </x:c>
      <x:c r="AE95" s="22" t="n">
        <x:v>296715.68</x:v>
      </x:c>
      <x:c r="AF95" s="18" t="str">
        <x:v>recoveries_of_defaulted_receivables</x:v>
      </x:c>
      <x:c r="AG95" s="22" t="n">
        <x:v>296715.68</x:v>
      </x:c>
      <x:c r="AH95" s="22" t="n">
        <x:v>0</x:v>
      </x:c>
      <x:c r="AI95" s="18" t="str">
        <x:v>TIED</x:v>
      </x:c>
      <x:c r="AJ95" s="18"/>
      <x:c r="AK95" s="18"/>
      <x:c r="AL95" s="18" t="str">
        <x:v>TIED</x:v>
      </x:c>
      <x:c r="AM95" s="18" t="str">
        <x:v>TIED</x:v>
      </x:c>
      <x:c r="AN95" s="18" t="str">
        <x:v>nissan-31-60-61-90-91-120-over-120</x:v>
      </x:c>
      <x:c r="AO95" s="35" t="n">
        <x:v>8</x:v>
      </x:c>
      <x:c r="AP95" s="18" t="str">
        <x:v>8</x:v>
      </x:c>
      <x:c r="AQ95" s="18"/>
      <x:c r="AR95" s="18" t="str">
        <x:v>NO_EXCEPTION_IN_RELEASE_SCOPE</x:v>
      </x:c>
      <x:c r="AS95" s="18" t="str">
        <x:v>No</x:v>
      </x:c>
      <x:c r="AT95" s="18"/>
    </x:row>
    <x:row r="96" ht="32" customHeight="1">
      <x:c r="A96" s="18" t="str">
        <x:v>nissan-2024-b-surveillance-v1</x:v>
      </x:c>
      <x:c r="B96" s="18" t="str">
        <x:v>NISSAN-2024-B</x:v>
      </x:c>
      <x:c r="C96" s="18" t="str">
        <x:v>Nissan Auto Receivables</x:v>
      </x:c>
      <x:c r="D96" s="18" t="str">
        <x:v>2025-12</x:v>
      </x:c>
      <x:c r="E96" s="18" t="str">
        <x:v>2025-12-31</x:v>
      </x:c>
      <x:c r="F96" s="18" t="str">
        <x:v>2025-12-01</x:v>
      </x:c>
      <x:c r="G96" s="18" t="str">
        <x:v>2025-12-31</x:v>
      </x:c>
      <x:c r="H96" s="35" t="n">
        <x:v>31</x:v>
      </x:c>
      <x:c r="I96" s="18"/>
      <x:c r="J96" s="18" t="str">
        <x:v>0001193125-26-017480</x:v>
      </x:c>
      <x:c r="K96" s="18" t="str">
        <x:v>https://www.sec.gov/Archives/edgar/data/2035264/000119312526017480/000119312526017480-index.html</x:v>
      </x:c>
      <x:c r="L96" s="18" t="str">
        <x:v>0001193125-26-020715</x:v>
      </x:c>
      <x:c r="M96" s="18" t="str">
        <x:v>https://www.sec.gov/Archives/edgar/data/2035264/000119312526020715/d856114dex991.htm</x:v>
      </x:c>
      <x:c r="N96" s="22" t="n">
        <x:v>709376779.08</x:v>
      </x:c>
      <x:c r="O96" s="22" t="n">
        <x:v>709376779.08</x:v>
      </x:c>
      <x:c r="P96" s="22" t="n">
        <x:v>0</x:v>
      </x:c>
      <x:c r="Q96" s="18" t="str">
        <x:v>TIED</x:v>
      </x:c>
      <x:c r="R96" s="35" t="n">
        <x:v>45670</x:v>
      </x:c>
      <x:c r="S96" s="35" t="n">
        <x:v>45670</x:v>
      </x:c>
      <x:c r="T96" s="18" t="str">
        <x:v>TIED</x:v>
      </x:c>
      <x:c r="U96" s="35" t="n">
        <x:v>28</x:v>
      </x:c>
      <x:c r="V96" s="35" t="n">
        <x:v>28</x:v>
      </x:c>
      <x:c r="W96" s="18" t="str">
        <x:v>TIED</x:v>
      </x:c>
      <x:c r="X96" s="22" t="n">
        <x:v>449701.03</x:v>
      </x:c>
      <x:c r="Y96" s="22" t="n">
        <x:v>449701.03</x:v>
      </x:c>
      <x:c r="Z96" s="18" t="str">
        <x:v>TIED</x:v>
      </x:c>
      <x:c r="AA96" s="35" t="n">
        <x:v>28</x:v>
      </x:c>
      <x:c r="AB96" s="22" t="n">
        <x:v>449701.03</x:v>
      </x:c>
      <x:c r="AC96" s="18" t="str">
        <x:v>TIED</x:v>
      </x:c>
      <x:c r="AD96" s="18" t="str">
        <x:v>TIED</x:v>
      </x:c>
      <x:c r="AE96" s="22" t="n">
        <x:v>354031.88</x:v>
      </x:c>
      <x:c r="AF96" s="18" t="str">
        <x:v>recoveries_of_defaulted_receivables</x:v>
      </x:c>
      <x:c r="AG96" s="22" t="n">
        <x:v>354031.88</x:v>
      </x:c>
      <x:c r="AH96" s="22" t="n">
        <x:v>0</x:v>
      </x:c>
      <x:c r="AI96" s="18" t="str">
        <x:v>TIED</x:v>
      </x:c>
      <x:c r="AJ96" s="18"/>
      <x:c r="AK96" s="18"/>
      <x:c r="AL96" s="18" t="str">
        <x:v>TIED</x:v>
      </x:c>
      <x:c r="AM96" s="18" t="str">
        <x:v>TIED</x:v>
      </x:c>
      <x:c r="AN96" s="18" t="str">
        <x:v>nissan-31-60-61-90-91-120-over-120</x:v>
      </x:c>
      <x:c r="AO96" s="35" t="n">
        <x:v>8</x:v>
      </x:c>
      <x:c r="AP96" s="18" t="str">
        <x:v>8</x:v>
      </x:c>
      <x:c r="AQ96" s="18"/>
      <x:c r="AR96" s="18" t="str">
        <x:v>NO_EXCEPTION_IN_RELEASE_SCOPE</x:v>
      </x:c>
      <x:c r="AS96" s="18" t="str">
        <x:v>No</x:v>
      </x:c>
      <x:c r="AT96" s="18"/>
    </x:row>
    <x:row r="97" ht="32" customHeight="1">
      <x:c r="A97" s="18" t="str">
        <x:v>nissan-2024-b-surveillance-v1</x:v>
      </x:c>
      <x:c r="B97" s="18" t="str">
        <x:v>NISSAN-2024-B</x:v>
      </x:c>
      <x:c r="C97" s="18" t="str">
        <x:v>Nissan Auto Receivables</x:v>
      </x:c>
      <x:c r="D97" s="18" t="str">
        <x:v>2026-01</x:v>
      </x:c>
      <x:c r="E97" s="18" t="str">
        <x:v>2026-01-31</x:v>
      </x:c>
      <x:c r="F97" s="18" t="str">
        <x:v>2026-01-01</x:v>
      </x:c>
      <x:c r="G97" s="18" t="str">
        <x:v>2026-01-31</x:v>
      </x:c>
      <x:c r="H97" s="35" t="n">
        <x:v>31</x:v>
      </x:c>
      <x:c r="I97" s="18"/>
      <x:c r="J97" s="18" t="str">
        <x:v>0001193125-26-055332</x:v>
      </x:c>
      <x:c r="K97" s="18" t="str">
        <x:v>https://www.sec.gov/Archives/edgar/data/2035264/000119312526055332/000119312526055332-index.html</x:v>
      </x:c>
      <x:c r="L97" s="18" t="str">
        <x:v>0001193125-26-061163</x:v>
      </x:c>
      <x:c r="M97" s="18" t="str">
        <x:v>https://www.sec.gov/Archives/edgar/data/2035264/000119312526061163/d111457dex991.htm</x:v>
      </x:c>
      <x:c r="N97" s="22" t="n">
        <x:v>672234602.42</x:v>
      </x:c>
      <x:c r="O97" s="22" t="n">
        <x:v>672234602.42</x:v>
      </x:c>
      <x:c r="P97" s="22" t="n">
        <x:v>0</x:v>
      </x:c>
      <x:c r="Q97" s="18" t="str">
        <x:v>TIED</x:v>
      </x:c>
      <x:c r="R97" s="35" t="n">
        <x:v>44241</x:v>
      </x:c>
      <x:c r="S97" s="35" t="n">
        <x:v>44241</x:v>
      </x:c>
      <x:c r="T97" s="18" t="str">
        <x:v>TIED</x:v>
      </x:c>
      <x:c r="U97" s="35" t="n">
        <x:v>35</x:v>
      </x:c>
      <x:c r="V97" s="35" t="n">
        <x:v>35</x:v>
      </x:c>
      <x:c r="W97" s="18" t="str">
        <x:v>TIED</x:v>
      </x:c>
      <x:c r="X97" s="22" t="n">
        <x:v>663155.23</x:v>
      </x:c>
      <x:c r="Y97" s="22" t="n">
        <x:v>663155.23</x:v>
      </x:c>
      <x:c r="Z97" s="18" t="str">
        <x:v>TIED</x:v>
      </x:c>
      <x:c r="AA97" s="35" t="n">
        <x:v>35</x:v>
      </x:c>
      <x:c r="AB97" s="22" t="n">
        <x:v>663155.23</x:v>
      </x:c>
      <x:c r="AC97" s="18" t="str">
        <x:v>TIED</x:v>
      </x:c>
      <x:c r="AD97" s="18" t="str">
        <x:v>TIED</x:v>
      </x:c>
      <x:c r="AE97" s="22" t="n">
        <x:v>277775.83</x:v>
      </x:c>
      <x:c r="AF97" s="18" t="str">
        <x:v>recoveries_of_defaulted_receivables</x:v>
      </x:c>
      <x:c r="AG97" s="22" t="n">
        <x:v>277775.83</x:v>
      </x:c>
      <x:c r="AH97" s="22" t="n">
        <x:v>0</x:v>
      </x:c>
      <x:c r="AI97" s="18" t="str">
        <x:v>TIED</x:v>
      </x:c>
      <x:c r="AJ97" s="18"/>
      <x:c r="AK97" s="18"/>
      <x:c r="AL97" s="18" t="str">
        <x:v>TIED</x:v>
      </x:c>
      <x:c r="AM97" s="18" t="str">
        <x:v>TIED</x:v>
      </x:c>
      <x:c r="AN97" s="18" t="str">
        <x:v>nissan-31-60-61-90-91-120-over-120</x:v>
      </x:c>
      <x:c r="AO97" s="35" t="n">
        <x:v>8</x:v>
      </x:c>
      <x:c r="AP97" s="18" t="str">
        <x:v>8</x:v>
      </x:c>
      <x:c r="AQ97" s="18"/>
      <x:c r="AR97" s="18" t="str">
        <x:v>NO_EXCEPTION_IN_RELEASE_SCOPE</x:v>
      </x:c>
      <x:c r="AS97" s="18" t="str">
        <x:v>No</x:v>
      </x:c>
      <x:c r="AT97" s="18"/>
    </x:row>
    <x:row r="98" ht="32" customHeight="1">
      <x:c r="A98" s="18" t="str">
        <x:v>nissan-2024-b-surveillance-v1</x:v>
      </x:c>
      <x:c r="B98" s="18" t="str">
        <x:v>NISSAN-2024-B</x:v>
      </x:c>
      <x:c r="C98" s="18" t="str">
        <x:v>Nissan Auto Receivables</x:v>
      </x:c>
      <x:c r="D98" s="18" t="str">
        <x:v>2026-02</x:v>
      </x:c>
      <x:c r="E98" s="18" t="str">
        <x:v>2026-02-28</x:v>
      </x:c>
      <x:c r="F98" s="18" t="str">
        <x:v>2026-02-01</x:v>
      </x:c>
      <x:c r="G98" s="18" t="str">
        <x:v>2026-02-28</x:v>
      </x:c>
      <x:c r="H98" s="35" t="n">
        <x:v>28</x:v>
      </x:c>
      <x:c r="I98" s="18"/>
      <x:c r="J98" s="18" t="str">
        <x:v>0001193125-26-123107</x:v>
      </x:c>
      <x:c r="K98" s="18" t="str">
        <x:v>https://www.sec.gov/Archives/edgar/data/2035264/000119312526123107/000119312526123107-index.html</x:v>
      </x:c>
      <x:c r="L98" s="18" t="str">
        <x:v>0001193125-26-128418</x:v>
      </x:c>
      <x:c r="M98" s="18" t="str">
        <x:v>https://www.sec.gov/Archives/edgar/data/2035264/000119312526128418/d15624dex991.htm</x:v>
      </x:c>
      <x:c r="N98" s="22" t="n">
        <x:v>638762630.83</x:v>
      </x:c>
      <x:c r="O98" s="22" t="n">
        <x:v>638762630.83</x:v>
      </x:c>
      <x:c r="P98" s="22" t="n">
        <x:v>0</x:v>
      </x:c>
      <x:c r="Q98" s="18" t="str">
        <x:v>TIED</x:v>
      </x:c>
      <x:c r="R98" s="35" t="n">
        <x:v>42864</x:v>
      </x:c>
      <x:c r="S98" s="35" t="n">
        <x:v>42864</x:v>
      </x:c>
      <x:c r="T98" s="18" t="str">
        <x:v>TIED</x:v>
      </x:c>
      <x:c r="U98" s="35" t="n">
        <x:v>28</x:v>
      </x:c>
      <x:c r="V98" s="35" t="n">
        <x:v>28</x:v>
      </x:c>
      <x:c r="W98" s="18" t="str">
        <x:v>TIED</x:v>
      </x:c>
      <x:c r="X98" s="22" t="n">
        <x:v>342389.44</x:v>
      </x:c>
      <x:c r="Y98" s="22" t="n">
        <x:v>342389.44</x:v>
      </x:c>
      <x:c r="Z98" s="18" t="str">
        <x:v>TIED</x:v>
      </x:c>
      <x:c r="AA98" s="35" t="n">
        <x:v>28</x:v>
      </x:c>
      <x:c r="AB98" s="22" t="n">
        <x:v>342389.44</x:v>
      </x:c>
      <x:c r="AC98" s="18" t="str">
        <x:v>TIED</x:v>
      </x:c>
      <x:c r="AD98" s="18" t="str">
        <x:v>TIED</x:v>
      </x:c>
      <x:c r="AE98" s="22" t="n">
        <x:v>293489.96</x:v>
      </x:c>
      <x:c r="AF98" s="18" t="str">
        <x:v>recoveries_of_defaulted_receivables</x:v>
      </x:c>
      <x:c r="AG98" s="22" t="n">
        <x:v>293489.96</x:v>
      </x:c>
      <x:c r="AH98" s="22" t="n">
        <x:v>0</x:v>
      </x:c>
      <x:c r="AI98" s="18" t="str">
        <x:v>TIED</x:v>
      </x:c>
      <x:c r="AJ98" s="18"/>
      <x:c r="AK98" s="18"/>
      <x:c r="AL98" s="18" t="str">
        <x:v>TIED</x:v>
      </x:c>
      <x:c r="AM98" s="18" t="str">
        <x:v>TIED</x:v>
      </x:c>
      <x:c r="AN98" s="18" t="str">
        <x:v>nissan-31-60-61-90-91-120-over-120</x:v>
      </x:c>
      <x:c r="AO98" s="35" t="n">
        <x:v>8</x:v>
      </x:c>
      <x:c r="AP98" s="18" t="str">
        <x:v>8</x:v>
      </x:c>
      <x:c r="AQ98" s="18"/>
      <x:c r="AR98" s="18" t="str">
        <x:v>NO_EXCEPTION_IN_RELEASE_SCOPE</x:v>
      </x:c>
      <x:c r="AS98" s="18" t="str">
        <x:v>No</x:v>
      </x:c>
      <x:c r="AT98" s="18"/>
    </x:row>
    <x:row r="99" ht="32" customHeight="1">
      <x:c r="A99" s="18" t="str">
        <x:v>nissan-2024-b-surveillance-v1</x:v>
      </x:c>
      <x:c r="B99" s="18" t="str">
        <x:v>NISSAN-2024-B</x:v>
      </x:c>
      <x:c r="C99" s="18" t="str">
        <x:v>Nissan Auto Receivables</x:v>
      </x:c>
      <x:c r="D99" s="18" t="str">
        <x:v>2026-03</x:v>
      </x:c>
      <x:c r="E99" s="18" t="str">
        <x:v>2026-03-31</x:v>
      </x:c>
      <x:c r="F99" s="18" t="str">
        <x:v>2026-03-01</x:v>
      </x:c>
      <x:c r="G99" s="18" t="str">
        <x:v>2026-03-31</x:v>
      </x:c>
      <x:c r="H99" s="35" t="n">
        <x:v>31</x:v>
      </x:c>
      <x:c r="I99" s="18"/>
      <x:c r="J99" s="18" t="str">
        <x:v>0001193125-26-169194</x:v>
      </x:c>
      <x:c r="K99" s="18" t="str">
        <x:v>https://www.sec.gov/Archives/edgar/data/2035264/000119312526169194/000119312526169194-index.html</x:v>
      </x:c>
      <x:c r="L99" s="18" t="str">
        <x:v>0001193125-26-176701</x:v>
      </x:c>
      <x:c r="M99" s="18" t="str">
        <x:v>https://www.sec.gov/Archives/edgar/data/2035264/000119312526176701/d119268dex991.htm</x:v>
      </x:c>
      <x:c r="N99" s="22" t="n">
        <x:v>600670421.82</x:v>
      </x:c>
      <x:c r="O99" s="22" t="n">
        <x:v>600670421.82</x:v>
      </x:c>
      <x:c r="P99" s="22" t="n">
        <x:v>0</x:v>
      </x:c>
      <x:c r="Q99" s="18" t="str">
        <x:v>TIED</x:v>
      </x:c>
      <x:c r="R99" s="35" t="n">
        <x:v>40895</x:v>
      </x:c>
      <x:c r="S99" s="35" t="n">
        <x:v>40895</x:v>
      </x:c>
      <x:c r="T99" s="18" t="str">
        <x:v>TIED</x:v>
      </x:c>
      <x:c r="U99" s="35" t="n">
        <x:v>29</x:v>
      </x:c>
      <x:c r="V99" s="35" t="n">
        <x:v>29</x:v>
      </x:c>
      <x:c r="W99" s="18" t="str">
        <x:v>TIED</x:v>
      </x:c>
      <x:c r="X99" s="22" t="n">
        <x:v>446560.85</x:v>
      </x:c>
      <x:c r="Y99" s="22" t="n">
        <x:v>446560.85</x:v>
      </x:c>
      <x:c r="Z99" s="18" t="str">
        <x:v>TIED</x:v>
      </x:c>
      <x:c r="AA99" s="35" t="n">
        <x:v>29</x:v>
      </x:c>
      <x:c r="AB99" s="22" t="n">
        <x:v>446560.85</x:v>
      </x:c>
      <x:c r="AC99" s="18" t="str">
        <x:v>TIED</x:v>
      </x:c>
      <x:c r="AD99" s="18" t="str">
        <x:v>TIED</x:v>
      </x:c>
      <x:c r="AE99" s="22" t="n">
        <x:v>483239.09</x:v>
      </x:c>
      <x:c r="AF99" s="18" t="str">
        <x:v>recoveries_of_defaulted_receivables</x:v>
      </x:c>
      <x:c r="AG99" s="22" t="n">
        <x:v>483239.09</x:v>
      </x:c>
      <x:c r="AH99" s="22" t="n">
        <x:v>0</x:v>
      </x:c>
      <x:c r="AI99" s="18" t="str">
        <x:v>TIED</x:v>
      </x:c>
      <x:c r="AJ99" s="18"/>
      <x:c r="AK99" s="18"/>
      <x:c r="AL99" s="18" t="str">
        <x:v>TIED</x:v>
      </x:c>
      <x:c r="AM99" s="18" t="str">
        <x:v>TIED</x:v>
      </x:c>
      <x:c r="AN99" s="18" t="str">
        <x:v>nissan-31-60-61-90-91-120-over-120</x:v>
      </x:c>
      <x:c r="AO99" s="35" t="n">
        <x:v>8</x:v>
      </x:c>
      <x:c r="AP99" s="18" t="str">
        <x:v>8</x:v>
      </x:c>
      <x:c r="AQ99" s="18"/>
      <x:c r="AR99" s="18" t="str">
        <x:v>NO_EXCEPTION_IN_RELEASE_SCOPE</x:v>
      </x:c>
      <x:c r="AS99" s="18" t="str">
        <x:v>No</x:v>
      </x:c>
      <x:c r="AT99" s="18"/>
    </x:row>
    <x:row r="100" ht="32" customHeight="1">
      <x:c r="A100" s="18" t="str">
        <x:v>nissan-2024-b-surveillance-v1</x:v>
      </x:c>
      <x:c r="B100" s="18" t="str">
        <x:v>NISSAN-2024-B</x:v>
      </x:c>
      <x:c r="C100" s="18" t="str">
        <x:v>Nissan Auto Receivables</x:v>
      </x:c>
      <x:c r="D100" s="18" t="str">
        <x:v>2026-04</x:v>
      </x:c>
      <x:c r="E100" s="18" t="str">
        <x:v>2026-04-30</x:v>
      </x:c>
      <x:c r="F100" s="18" t="str">
        <x:v>2026-04-01</x:v>
      </x:c>
      <x:c r="G100" s="18" t="str">
        <x:v>2026-04-30</x:v>
      </x:c>
      <x:c r="H100" s="35" t="n">
        <x:v>30</x:v>
      </x:c>
      <x:c r="I100" s="18"/>
      <x:c r="J100" s="18" t="str">
        <x:v>0001193125-26-231956</x:v>
      </x:c>
      <x:c r="K100" s="18" t="str">
        <x:v>https://www.sec.gov/Archives/edgar/data/2035264/000119312526231956/000119312526231956-index.html</x:v>
      </x:c>
      <x:c r="L100" s="18" t="str">
        <x:v>0001193125-26-238726</x:v>
      </x:c>
      <x:c r="M100" s="18" t="str">
        <x:v>https://www.sec.gov/Archives/edgar/data/2035264/000119312526238726/d98443dex991.htm</x:v>
      </x:c>
      <x:c r="N100" s="22" t="n">
        <x:v>566273961.68</x:v>
      </x:c>
      <x:c r="O100" s="22" t="n">
        <x:v>566273961.68</x:v>
      </x:c>
      <x:c r="P100" s="22" t="n">
        <x:v>0</x:v>
      </x:c>
      <x:c r="Q100" s="18" t="str">
        <x:v>TIED</x:v>
      </x:c>
      <x:c r="R100" s="35" t="n">
        <x:v>39252</x:v>
      </x:c>
      <x:c r="S100" s="35" t="n">
        <x:v>39252</x:v>
      </x:c>
      <x:c r="T100" s="18" t="str">
        <x:v>TIED</x:v>
      </x:c>
      <x:c r="U100" s="35" t="n">
        <x:v>14</x:v>
      </x:c>
      <x:c r="V100" s="35" t="n">
        <x:v>14</x:v>
      </x:c>
      <x:c r="W100" s="18" t="str">
        <x:v>TIED</x:v>
      </x:c>
      <x:c r="X100" s="22" t="n">
        <x:v>184509.39</x:v>
      </x:c>
      <x:c r="Y100" s="22" t="n">
        <x:v>184509.39</x:v>
      </x:c>
      <x:c r="Z100" s="18" t="str">
        <x:v>TIED</x:v>
      </x:c>
      <x:c r="AA100" s="35" t="n">
        <x:v>14</x:v>
      </x:c>
      <x:c r="AB100" s="22" t="n">
        <x:v>184509.39</x:v>
      </x:c>
      <x:c r="AC100" s="18" t="str">
        <x:v>TIED</x:v>
      </x:c>
      <x:c r="AD100" s="18" t="str">
        <x:v>TIED</x:v>
      </x:c>
      <x:c r="AE100" s="22" t="n">
        <x:v>297678.44</x:v>
      </x:c>
      <x:c r="AF100" s="18" t="str">
        <x:v>recoveries_of_defaulted_receivables</x:v>
      </x:c>
      <x:c r="AG100" s="22" t="n">
        <x:v>297678.44</x:v>
      </x:c>
      <x:c r="AH100" s="22" t="n">
        <x:v>0</x:v>
      </x:c>
      <x:c r="AI100" s="18" t="str">
        <x:v>TIED</x:v>
      </x:c>
      <x:c r="AJ100" s="18"/>
      <x:c r="AK100" s="18"/>
      <x:c r="AL100" s="18" t="str">
        <x:v>TIED</x:v>
      </x:c>
      <x:c r="AM100" s="18" t="str">
        <x:v>TIED</x:v>
      </x:c>
      <x:c r="AN100" s="18" t="str">
        <x:v>nissan-31-60-61-90-91-120-over-120</x:v>
      </x:c>
      <x:c r="AO100" s="35" t="n">
        <x:v>8</x:v>
      </x:c>
      <x:c r="AP100" s="18" t="str">
        <x:v>8</x:v>
      </x:c>
      <x:c r="AQ100" s="18"/>
      <x:c r="AR100" s="18" t="str">
        <x:v>NO_EXCEPTION_IN_RELEASE_SCOPE</x:v>
      </x:c>
      <x:c r="AS100" s="18" t="str">
        <x:v>No</x:v>
      </x:c>
      <x:c r="AT100" s="18"/>
    </x:row>
    <x:row r="101" ht="32" customHeight="1">
      <x:c r="A101" s="18" t="str">
        <x:v>nissan-2024-b-surveillance-v1</x:v>
      </x:c>
      <x:c r="B101" s="18" t="str">
        <x:v>NISSAN-2024-B</x:v>
      </x:c>
      <x:c r="C101" s="18" t="str">
        <x:v>Nissan Auto Receivables</x:v>
      </x:c>
      <x:c r="D101" s="18" t="str">
        <x:v>2026-05</x:v>
      </x:c>
      <x:c r="E101" s="18" t="str">
        <x:v>2026-05-31</x:v>
      </x:c>
      <x:c r="F101" s="18" t="str">
        <x:v>2026-05-01</x:v>
      </x:c>
      <x:c r="G101" s="18" t="str">
        <x:v>2026-05-31</x:v>
      </x:c>
      <x:c r="H101" s="35" t="n">
        <x:v>31</x:v>
      </x:c>
      <x:c r="I101" s="18"/>
      <x:c r="J101" s="18" t="str">
        <x:v>0001193125-26-280715</x:v>
      </x:c>
      <x:c r="K101" s="18" t="str">
        <x:v>https://www.sec.gov/Archives/edgar/data/2035264/000119312526280715/000119312526280715-index.html</x:v>
      </x:c>
      <x:c r="L101" s="18" t="str">
        <x:v>0001193125-26-284488</x:v>
      </x:c>
      <x:c r="M101" s="18" t="str">
        <x:v>https://www.sec.gov/Archives/edgar/data/2035264/000119312526284488/d164942dex991.htm</x:v>
      </x:c>
      <x:c r="N101" s="22" t="n">
        <x:v>535489396.42</x:v>
      </x:c>
      <x:c r="O101" s="22" t="n">
        <x:v>535489396.42</x:v>
      </x:c>
      <x:c r="P101" s="22" t="n">
        <x:v>0</x:v>
      </x:c>
      <x:c r="Q101" s="18" t="str">
        <x:v>TIED</x:v>
      </x:c>
      <x:c r="R101" s="35" t="n">
        <x:v>37015</x:v>
      </x:c>
      <x:c r="S101" s="35" t="n">
        <x:v>37015</x:v>
      </x:c>
      <x:c r="T101" s="18" t="str">
        <x:v>TIED</x:v>
      </x:c>
      <x:c r="U101" s="35" t="n">
        <x:v>20</x:v>
      </x:c>
      <x:c r="V101" s="35" t="n">
        <x:v>20</x:v>
      </x:c>
      <x:c r="W101" s="18" t="str">
        <x:v>TIED</x:v>
      </x:c>
      <x:c r="X101" s="22" t="n">
        <x:v>364011.34</x:v>
      </x:c>
      <x:c r="Y101" s="22" t="n">
        <x:v>364011.34</x:v>
      </x:c>
      <x:c r="Z101" s="18" t="str">
        <x:v>TIED</x:v>
      </x:c>
      <x:c r="AA101" s="35" t="n">
        <x:v>20</x:v>
      </x:c>
      <x:c r="AB101" s="22" t="n">
        <x:v>364011.34</x:v>
      </x:c>
      <x:c r="AC101" s="18" t="str">
        <x:v>TIED</x:v>
      </x:c>
      <x:c r="AD101" s="18" t="str">
        <x:v>TIED</x:v>
      </x:c>
      <x:c r="AE101" s="22" t="n">
        <x:v>279390.28</x:v>
      </x:c>
      <x:c r="AF101" s="18" t="str">
        <x:v>recoveries_of_defaulted_receivables</x:v>
      </x:c>
      <x:c r="AG101" s="22" t="n">
        <x:v>279390.28</x:v>
      </x:c>
      <x:c r="AH101" s="22" t="n">
        <x:v>0</x:v>
      </x:c>
      <x:c r="AI101" s="18" t="str">
        <x:v>TIED</x:v>
      </x:c>
      <x:c r="AJ101" s="18"/>
      <x:c r="AK101" s="18"/>
      <x:c r="AL101" s="18" t="str">
        <x:v>TIED</x:v>
      </x:c>
      <x:c r="AM101" s="18" t="str">
        <x:v>TIED</x:v>
      </x:c>
      <x:c r="AN101" s="18" t="str">
        <x:v>nissan-31-60-61-90-91-120-over-120</x:v>
      </x:c>
      <x:c r="AO101" s="35" t="n">
        <x:v>8</x:v>
      </x:c>
      <x:c r="AP101" s="18" t="str">
        <x:v>8</x:v>
      </x:c>
      <x:c r="AQ101" s="18"/>
      <x:c r="AR101" s="18" t="str">
        <x:v>NO_EXCEPTION_IN_RELEASE_SCOPE</x:v>
      </x:c>
      <x:c r="AS101" s="18" t="str">
        <x:v>No</x:v>
      </x:c>
      <x:c r="AT101" s="18"/>
    </x:row>
    <x:row r="102" ht="32" customHeight="1">
      <x:c r="A102" s="18" t="str">
        <x:v>nissan-2024-b-surveillance-v1</x:v>
      </x:c>
      <x:c r="B102" s="18" t="str">
        <x:v>NISSAN-2024-B</x:v>
      </x:c>
      <x:c r="C102" s="18" t="str">
        <x:v>Nissan Auto Receivables</x:v>
      </x:c>
      <x:c r="D102" s="18" t="str">
        <x:v>2026-06</x:v>
      </x:c>
      <x:c r="E102" s="18" t="str">
        <x:v>2026-06-30</x:v>
      </x:c>
      <x:c r="F102" s="18" t="str">
        <x:v>2026-06-01</x:v>
      </x:c>
      <x:c r="G102" s="18" t="str">
        <x:v>2026-06-30</x:v>
      </x:c>
      <x:c r="H102" s="35" t="n">
        <x:v>30</x:v>
      </x:c>
      <x:c r="I102" s="18"/>
      <x:c r="J102" s="18" t="str">
        <x:v>0001193125-26-311828</x:v>
      </x:c>
      <x:c r="K102" s="18" t="str">
        <x:v>https://www.sec.gov/Archives/edgar/data/2035264/000119312526311828/000119312526311828-index.html</x:v>
      </x:c>
      <x:c r="L102" s="18" t="str">
        <x:v>0001193125-26-315933</x:v>
      </x:c>
      <x:c r="M102" s="18" t="str">
        <x:v>https://www.sec.gov/Archives/edgar/data/2035264/000119312526315933/d144181dex991.htm</x:v>
      </x:c>
      <x:c r="N102" s="22" t="n">
        <x:v>504974056.51</x:v>
      </x:c>
      <x:c r="O102" s="22" t="n">
        <x:v>504974056.51</x:v>
      </x:c>
      <x:c r="P102" s="22" t="n">
        <x:v>0</x:v>
      </x:c>
      <x:c r="Q102" s="18" t="str">
        <x:v>TIED</x:v>
      </x:c>
      <x:c r="R102" s="35" t="n">
        <x:v>34687</x:v>
      </x:c>
      <x:c r="S102" s="35" t="n">
        <x:v>34687</x:v>
      </x:c>
      <x:c r="T102" s="18" t="str">
        <x:v>TIED</x:v>
      </x:c>
      <x:c r="U102" s="35" t="n">
        <x:v>22</x:v>
      </x:c>
      <x:c r="V102" s="35" t="n">
        <x:v>22</x:v>
      </x:c>
      <x:c r="W102" s="18" t="str">
        <x:v>TIED</x:v>
      </x:c>
      <x:c r="X102" s="22" t="n">
        <x:v>383180.95</x:v>
      </x:c>
      <x:c r="Y102" s="22" t="n">
        <x:v>383180.95</x:v>
      </x:c>
      <x:c r="Z102" s="18" t="str">
        <x:v>TIED</x:v>
      </x:c>
      <x:c r="AA102" s="35" t="n">
        <x:v>22</x:v>
      </x:c>
      <x:c r="AB102" s="22" t="n">
        <x:v>383180.95</x:v>
      </x:c>
      <x:c r="AC102" s="18" t="str">
        <x:v>TIED</x:v>
      </x:c>
      <x:c r="AD102" s="18" t="str">
        <x:v>TIED</x:v>
      </x:c>
      <x:c r="AE102" s="22" t="n">
        <x:v>348400.64</x:v>
      </x:c>
      <x:c r="AF102" s="18" t="str">
        <x:v>recoveries_of_defaulted_receivables</x:v>
      </x:c>
      <x:c r="AG102" s="22" t="n">
        <x:v>348400.64</x:v>
      </x:c>
      <x:c r="AH102" s="22" t="n">
        <x:v>0</x:v>
      </x:c>
      <x:c r="AI102" s="18" t="str">
        <x:v>TIED</x:v>
      </x:c>
      <x:c r="AJ102" s="18"/>
      <x:c r="AK102" s="18"/>
      <x:c r="AL102" s="18" t="str">
        <x:v>TIED</x:v>
      </x:c>
      <x:c r="AM102" s="18" t="str">
        <x:v>TIED</x:v>
      </x:c>
      <x:c r="AN102" s="18" t="str">
        <x:v>nissan-31-60-61-90-91-120-over-120</x:v>
      </x:c>
      <x:c r="AO102" s="35" t="n">
        <x:v>8</x:v>
      </x:c>
      <x:c r="AP102" s="18" t="str">
        <x:v>8</x:v>
      </x:c>
      <x:c r="AQ102" s="18"/>
      <x:c r="AR102" s="18" t="str">
        <x:v>NO_EXCEPTION_IN_RELEASE_SCOPE</x:v>
      </x:c>
      <x:c r="AS102" s="18" t="str">
        <x:v>No</x:v>
      </x:c>
      <x:c r="AT102" s="18"/>
    </x:row>
    <x:row r="103" ht="32" customHeight="1">
      <x:c r="A103" s="18" t="str">
        <x:v>nissan-2024-b-surveillance-v1</x:v>
      </x:c>
      <x:c r="B103" s="18" t="str">
        <x:v>NISSAN-2024-B</x:v>
      </x:c>
      <x:c r="C103" s="18" t="str">
        <x:v>Nissan Auto Receivables</x:v>
      </x:c>
      <x:c r="D103" s="18" t="str">
        <x:v>2026-07</x:v>
      </x:c>
      <x:c r="E103" s="18" t="str">
        <x:v>2026-07-31</x:v>
      </x:c>
      <x:c r="F103" s="18" t="str">
        <x:v>2026-07-01</x:v>
      </x:c>
      <x:c r="G103" s="18" t="str">
        <x:v>2026-07-31</x:v>
      </x:c>
      <x:c r="H103" s="35" t="n">
        <x:v>31</x:v>
      </x:c>
      <x:c r="I103" s="18"/>
      <x:c r="J103" s="18" t="str">
        <x:v>0001193125-26-356400</x:v>
      </x:c>
      <x:c r="K103" s="18" t="str">
        <x:v>https://www.sec.gov/Archives/edgar/data/2035264/000119312526356400/000119312526356400-index.html</x:v>
      </x:c>
      <x:c r="L103" s="18" t="str">
        <x:v>0001193125-26-360553</x:v>
      </x:c>
      <x:c r="M103" s="18" t="str">
        <x:v>https://www.sec.gov/Archives/edgar/data/2035264/000119312526360553/d102853dex991.htm</x:v>
      </x:c>
      <x:c r="N103" s="22" t="n">
        <x:v>476086194.17</x:v>
      </x:c>
      <x:c r="O103" s="22" t="n">
        <x:v>476086194.17</x:v>
      </x:c>
      <x:c r="P103" s="22" t="n">
        <x:v>0</x:v>
      </x:c>
      <x:c r="Q103" s="18" t="str">
        <x:v>TIED</x:v>
      </x:c>
      <x:c r="R103" s="35" t="n">
        <x:v>33029</x:v>
      </x:c>
      <x:c r="S103" s="35" t="n">
        <x:v>33029</x:v>
      </x:c>
      <x:c r="T103" s="18" t="str">
        <x:v>TIED</x:v>
      </x:c>
      <x:c r="U103" s="35" t="n">
        <x:v>27</x:v>
      </x:c>
      <x:c r="V103" s="35" t="n">
        <x:v>27</x:v>
      </x:c>
      <x:c r="W103" s="18" t="str">
        <x:v>TIED</x:v>
      </x:c>
      <x:c r="X103" s="22" t="n">
        <x:v>356233.48</x:v>
      </x:c>
      <x:c r="Y103" s="22" t="n">
        <x:v>356233.48</x:v>
      </x:c>
      <x:c r="Z103" s="18" t="str">
        <x:v>TIED</x:v>
      </x:c>
      <x:c r="AA103" s="35" t="n">
        <x:v>27</x:v>
      </x:c>
      <x:c r="AB103" s="22" t="n">
        <x:v>356233.48</x:v>
      </x:c>
      <x:c r="AC103" s="18" t="str">
        <x:v>TIED</x:v>
      </x:c>
      <x:c r="AD103" s="18" t="str">
        <x:v>TIED</x:v>
      </x:c>
      <x:c r="AE103" s="22" t="n">
        <x:v>269866.53</x:v>
      </x:c>
      <x:c r="AF103" s="18" t="str">
        <x:v>recoveries_of_defaulted_receivables</x:v>
      </x:c>
      <x:c r="AG103" s="22" t="n">
        <x:v>269866.53</x:v>
      </x:c>
      <x:c r="AH103" s="22" t="n">
        <x:v>0</x:v>
      </x:c>
      <x:c r="AI103" s="18" t="str">
        <x:v>TIED</x:v>
      </x:c>
      <x:c r="AJ103" s="18"/>
      <x:c r="AK103" s="18"/>
      <x:c r="AL103" s="18" t="str">
        <x:v>TIED</x:v>
      </x:c>
      <x:c r="AM103" s="18" t="str">
        <x:v>TIED</x:v>
      </x:c>
      <x:c r="AN103" s="18" t="str">
        <x:v>nissan-31-60-61-90-91-120-over-120</x:v>
      </x:c>
      <x:c r="AO103" s="35" t="n">
        <x:v>8</x:v>
      </x:c>
      <x:c r="AP103" s="18" t="str">
        <x:v>8</x:v>
      </x:c>
      <x:c r="AQ103" s="18"/>
      <x:c r="AR103" s="18" t="str">
        <x:v>NO_EXCEPTION_IN_RELEASE_SCOPE</x:v>
      </x:c>
      <x:c r="AS103" s="18" t="str">
        <x:v>No</x:v>
      </x:c>
      <x:c r="AT103" s="18"/>
    </x:row>
    <x:row r="104" ht="32" customHeight="1">
      <x:c r="A104" s="18" t="str">
        <x:v>nissan-2024-b-surveillance-v1</x:v>
      </x:c>
      <x:c r="B104" s="18" t="str">
        <x:v>NISSAN-2024-B</x:v>
      </x:c>
      <x:c r="C104" s="18" t="str">
        <x:v>Nissan Auto Receivables</x:v>
      </x:c>
      <x:c r="D104" s="18" t="str">
        <x:v>2026-08</x:v>
      </x:c>
      <x:c r="E104" s="18" t="str">
        <x:v>2026-08-31</x:v>
      </x:c>
      <x:c r="F104" s="18" t="str">
        <x:v>2026-08-01</x:v>
      </x:c>
      <x:c r="G104" s="18" t="str">
        <x:v>2026-08-31</x:v>
      </x:c>
      <x:c r="H104" s="35" t="n">
        <x:v>31</x:v>
      </x:c>
      <x:c r="I104" s="18"/>
      <x:c r="J104" s="18" t="str">
        <x:v>0001193125-26-398713</x:v>
      </x:c>
      <x:c r="K104" s="18" t="str">
        <x:v>https://www.sec.gov/Archives/edgar/data/2035264/000119312526398713/000119312526398713-index.html</x:v>
      </x:c>
      <x:c r="L104" s="18" t="str">
        <x:v>0001193125-26-402371</x:v>
      </x:c>
      <x:c r="M104" s="18" t="str">
        <x:v>https://www.sec.gov/Archives/edgar/data/2035264/000119312526402371/d172375dex991.htm</x:v>
      </x:c>
      <x:c r="N104" s="22" t="n">
        <x:v>449976338.31</x:v>
      </x:c>
      <x:c r="O104" s="22" t="n">
        <x:v>449976338.31</x:v>
      </x:c>
      <x:c r="P104" s="22" t="n">
        <x:v>0</x:v>
      </x:c>
      <x:c r="Q104" s="18" t="str">
        <x:v>TIED</x:v>
      </x:c>
      <x:c r="R104" s="35" t="n">
        <x:v>31857</x:v>
      </x:c>
      <x:c r="S104" s="35" t="n">
        <x:v>31857</x:v>
      </x:c>
      <x:c r="T104" s="18" t="str">
        <x:v>TIED</x:v>
      </x:c>
      <x:c r="U104" s="35" t="n">
        <x:v>28</x:v>
      </x:c>
      <x:c r="V104" s="35" t="n">
        <x:v>28</x:v>
      </x:c>
      <x:c r="W104" s="18" t="str">
        <x:v>TIED</x:v>
      </x:c>
      <x:c r="X104" s="22" t="n">
        <x:v>439605.46</x:v>
      </x:c>
      <x:c r="Y104" s="22" t="n">
        <x:v>439605.46</x:v>
      </x:c>
      <x:c r="Z104" s="18" t="str">
        <x:v>TIED</x:v>
      </x:c>
      <x:c r="AA104" s="35" t="n">
        <x:v>28</x:v>
      </x:c>
      <x:c r="AB104" s="22" t="n">
        <x:v>439605.46</x:v>
      </x:c>
      <x:c r="AC104" s="18" t="str">
        <x:v>TIED</x:v>
      </x:c>
      <x:c r="AD104" s="18" t="str">
        <x:v>TIED</x:v>
      </x:c>
      <x:c r="AE104" s="22" t="n">
        <x:v>218370.75</x:v>
      </x:c>
      <x:c r="AF104" s="18" t="str">
        <x:v>recoveries_of_defaulted_receivables</x:v>
      </x:c>
      <x:c r="AG104" s="22" t="n">
        <x:v>218370.75</x:v>
      </x:c>
      <x:c r="AH104" s="22" t="n">
        <x:v>0</x:v>
      </x:c>
      <x:c r="AI104" s="18" t="str">
        <x:v>TIED</x:v>
      </x:c>
      <x:c r="AJ104" s="18"/>
      <x:c r="AK104" s="18"/>
      <x:c r="AL104" s="18" t="str">
        <x:v>TIED</x:v>
      </x:c>
      <x:c r="AM104" s="18" t="str">
        <x:v>TIED</x:v>
      </x:c>
      <x:c r="AN104" s="18" t="str">
        <x:v>nissan-31-60-61-90-91-120-over-120</x:v>
      </x:c>
      <x:c r="AO104" s="35" t="n">
        <x:v>8</x:v>
      </x:c>
      <x:c r="AP104" s="18" t="str">
        <x:v>8</x:v>
      </x:c>
      <x:c r="AQ104" s="18"/>
      <x:c r="AR104" s="18" t="str">
        <x:v>NO_EXCEPTION_IN_RELEASE_SCOPE</x:v>
      </x:c>
      <x:c r="AS104" s="18" t="str">
        <x:v>No</x:v>
      </x:c>
      <x:c r="AT104" s="18"/>
    </x:row>
  </x:sheetData>
  <x:pageMargins left="0.7" right="0.7" top="0.75" bottom="0.75" header="0.3" footer="0.3"/>
  <x:tableParts count="1">
    <x:tablePart xmlns:r="http://schemas.openxmlformats.org/officeDocument/2006/relationships" r:id="R22dd8bc9f1da44b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6" hidden="0" customWidth="1"/>
    <x:col min="3" max="3" width="48" hidden="0" customWidth="1"/>
    <x:col min="4" max="4" width="30" hidden="0" customWidth="1"/>
    <x:col min="5" max="5" width="20" hidden="0" customWidth="1"/>
    <x:col min="6" max="6" width="20" hidden="0" customWidth="1"/>
    <x:col min="7" max="7" width="38" hidden="0" customWidth="1"/>
    <x:col min="8" max="8" width="90" hidden="0" customWidth="1"/>
    <x:col min="9" max="9" width="42" hidden="0" customWidth="1"/>
    <x:col min="10" max="10" width="72" hidden="0" customWidth="1"/>
    <x:col min="11" max="11" width="56" hidden="0" customWidth="1"/>
  </x:cols>
  <x:sheetData>
    <x:row r="1" ht="42" customHeight="1">
      <x:c r="A1" s="37" t="str">
        <x:v>Deal</x:v>
      </x:c>
      <x:c r="B1" s="37" t="str">
        <x:v>Contract ID</x:v>
      </x:c>
      <x:c r="C1" s="37" t="str">
        <x:v>Trust</x:v>
      </x:c>
      <x:c r="D1" s="37" t="str">
        <x:v>Issuer family</x:v>
      </x:c>
      <x:c r="E1" s="37" t="str">
        <x:v>Expected periods</x:v>
      </x:c>
      <x:c r="F1" s="37" t="str">
        <x:v>Report window</x:v>
      </x:c>
      <x:c r="G1" s="37" t="str">
        <x:v>Recovery comparator</x:v>
      </x:c>
      <x:c r="H1" s="37" t="str">
        <x:v>Certificate recovery definition</x:v>
      </x:c>
      <x:c r="I1" s="37" t="str">
        <x:v>Native DPD definition ID</x:v>
      </x:c>
      <x:c r="J1" s="37" t="str">
        <x:v>Native DPD definition</x:v>
      </x:c>
      <x:c r="K1" s="37" t="str">
        <x:v>Research evidence</x:v>
      </x:c>
    </x:row>
    <x:row r="2" ht="92" customHeight="1">
      <x:c r="A2" s="19" t="str">
        <x:v>TOYOTA-2022-B</x:v>
      </x:c>
      <x:c r="B2" s="19" t="str">
        <x:v>toyota-2022-b-recovery-v1</x:v>
      </x:c>
      <x:c r="C2" s="19" t="str">
        <x:v>Toyota Auto Receivables 2022-B Owner Trust</x:v>
      </x:c>
      <x:c r="D2" s="19" t="str">
        <x:v>Toyota Auto Receivables</x:v>
      </x:c>
      <x:c r="E2" s="19" t="n">
        <x:v>51</x:v>
      </x:c>
      <x:c r="F2" s="19" t="str">
        <x:v>2022-04-30 to 2026-06-30</x:v>
      </x:c>
      <x:c r="G2" s="19" t="str">
        <x:v>Aggregate net liquidation proceeds</x:v>
      </x:c>
      <x:c r="H2" s="19" t="str">
        <x:v>Negate the sum of the two signed certificate components: Net Liquidation Proceeds Received During the Collection Period and Recoveries on Previously Liquidated Contracts.</x:v>
      </x:c>
      <x:c r="I2" s="19" t="str">
        <x:v>toyota-30-59-60-89-90-119-120-plus</x:v>
      </x:c>
      <x:c r="J2" s="19" t="str">
        <x:v>30–59, 60–89, 90–119 and 120+ days delinquent; these buckets are not included in this recovery-component ledger.</x:v>
      </x:c>
      <x:c r="K2" s="19" t="str">
        <x:v>docs/TOYOTA_RECOVERY_COMPONENT_EXCEPTION_LEDGER_VI.md</x:v>
      </x:c>
    </x:row>
    <x:row r="3" ht="92" customHeight="1">
      <x:c r="A3" s="19" t="str">
        <x:v>TOYOTA-2024-B</x:v>
      </x:c>
      <x:c r="B3" s="19" t="str">
        <x:v>toyota-2024-b-recovery-v1</x:v>
      </x:c>
      <x:c r="C3" s="19" t="str">
        <x:v>Toyota Auto Receivables 2024-B Owner Trust</x:v>
      </x:c>
      <x:c r="D3" s="19" t="str">
        <x:v>Toyota Auto Receivables</x:v>
      </x:c>
      <x:c r="E3" s="19" t="n">
        <x:v>29</x:v>
      </x:c>
      <x:c r="F3" s="19" t="str">
        <x:v>2024-04-30 to 2026-08-31</x:v>
      </x:c>
      <x:c r="G3" s="19" t="str">
        <x:v>Aggregate net liquidation proceeds</x:v>
      </x:c>
      <x:c r="H3" s="19" t="str">
        <x:v>Negate the sum of the two signed certificate components: Net Liquidation Proceeds Received During the Collection Period and Recoveries on Previously Liquidated Contracts.</x:v>
      </x:c>
      <x:c r="I3" s="19" t="str">
        <x:v>toyota-30-59-60-89-90-119-120-plus</x:v>
      </x:c>
      <x:c r="J3" s="19" t="str">
        <x:v>30–59, 60–89, 90–119 and 120+ days delinquent; these buckets are not included in this recovery-component ledger.</x:v>
      </x:c>
      <x:c r="K3" s="19" t="str">
        <x:v>docs/TOYOTA_RECOVERY_COMPONENT_EXCEPTION_LEDGER_VI.md</x:v>
      </x:c>
    </x:row>
    <x:row r="4" ht="92" customHeight="1">
      <x:c r="A4" s="19" t="str">
        <x:v>NISSAN-2024-B</x:v>
      </x:c>
      <x:c r="B4" s="19" t="str">
        <x:v>nissan-2024-b-surveillance-v1</x:v>
      </x:c>
      <x:c r="C4" s="19" t="str">
        <x:v>Nissan Auto Receivables 2024-B Owner Trust</x:v>
      </x:c>
      <x:c r="D4" s="19" t="str">
        <x:v>Nissan Auto Receivables</x:v>
      </x:c>
      <x:c r="E4" s="19" t="n">
        <x:v>23</x:v>
      </x:c>
      <x:c r="F4" s="19" t="str">
        <x:v>2024-10-31 to 2026-08-31</x:v>
      </x:c>
      <x:c r="G4" s="19" t="str">
        <x:v>Current-period recoveries of defaulted receivables</x:v>
      </x:c>
      <x:c r="H4" s="19" t="str">
        <x:v>Current-period Recoveries of Defaulted Receivables on the 10-D certificate; principal-only recoveries are reported separately and are not substituted for this total.</x:v>
      </x:c>
      <x:c r="I4" s="19" t="str">
        <x:v>nissan-31-60-61-90-91-120-over-120</x:v>
      </x:c>
      <x:c r="J4" s="19" t="str">
        <x:v>31–60, 61–90, 91–120 and greater than 120 days delinquent.</x:v>
      </x:c>
      <x:c r="K4" s="19" t="str">
        <x:v>docs/NISSAN_2024B_EXCEPTION_LEDGER_VI.md</x:v>
      </x:c>
    </x:row>
  </x:sheetData>
  <x:pageMargins left="0.7" right="0.7" top="0.75" bottom="0.75" header="0.3" footer="0.3"/>
  <x:tableParts count="1">
    <x:tablePart xmlns:r="http://schemas.openxmlformats.org/officeDocument/2006/relationships" r:id="R983198ad967c4dcd"/>
  </x:tableParts>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2" max="2" width="120" hidden="0" customWidth="1"/>
    <x:col min="1" max="1" width="38" hidden="0" customWidth="1"/>
  </x:cols>
  <x:sheetData>
    <x:row r="1" ht="58" customHeight="1">
      <x:c r="A1" s="41" t="str">
        <x:v>ABS-SURV-F001 · ABS-EE recovery values do not reconcile uniformly to deal-certificate comparators</x:v>
      </x:c>
      <x:c r="B1" s="41"/>
    </x:row>
    <x:row r="4" ht="58" customHeight="1">
      <x:c r="A4" s="20" t="str">
        <x:v>Classification</x:v>
      </x:c>
      <x:c r="B4" s="18" t="str">
        <x:v>Source-definition and reconciliation exception</x:v>
      </x:c>
    </x:row>
    <x:row r="5" ht="58" customHeight="1">
      <x:c r="A5" s="20" t="str">
        <x:v>Status</x:v>
      </x:c>
      <x:c r="B5" s="18" t="str">
        <x:v>Open — root cause not established</x:v>
      </x:c>
    </x:row>
    <x:row r="6" ht="58" customHeight="1">
      <x:c r="A6" s="20" t="str">
        <x:v>Observation</x:v>
      </x:c>
      <x:c r="B6" s="18" t="str">
        <x:v>Across the three deal contracts, deal-specific ABS-EE recovery comparisons produce 83 non-zero period residuals. Toyota's certificate comparator is aggregate net liquidation proceeds built from two signed components; Nissan's comparator is current recoveries of defaulted receivables. The dollar residuals and tie rates are therefore retained by deal and are not pooled. Available evidence does not identify whether remaining differences arise from population, cutoff, classification, correction, or servicing records.</x:v>
      </x:c>
    </x:row>
    <x:row r="7" ht="58" customHeight="1">
      <x:c r="A7" s="20" t="str">
        <x:v>Required action</x:v>
      </x:c>
      <x:c r="B7" s="18" t="str">
        <x:v>Keep all residuals visible and request dated field/cutoff/reversal or transaction-mapping evidence before changing a reconciliation rule or using recovery amounts in LGD/cashflow analysis.</x:v>
      </x:c>
    </x:row>
    <x:row r="8" ht="58" customHeight="1">
      <x:c r="A8" s="20" t="str">
        <x:v>Use limit</x:v>
      </x:c>
      <x:c r="B8" s="18" t="str">
        <x:v>Not a loss estimate, LGD, fraud signal, model validation result, accounting ECL, or evidence that any party reported incorrectly.</x:v>
      </x:c>
    </x:row>
    <x:row r="9" ht="58" customHeight="1">
      <x:c r="A9" s="20" t="str">
        <x:v>Release / evidence</x:v>
      </x:c>
      <x:c r="B9" s="18" t="str">
        <x:v>abs-surveillance-2026-10-17 · 103 aggregate deal-period rows · contract and source hashes are in the release receipt.</x:v>
      </x:c>
    </x:row>
    <x:row r="10" ht="58" customHeight="1">
      <x:c r="A10" s="20" t="str">
        <x:v>Calculation rules</x:v>
      </x:c>
      <x:c r="B10" s="18" t="str">
        <x:v>Each period residual is asset recoveredAmount minus its own certificate comparator. Exact tie only at zero. No missing-to-zero, interpolation, forecast, imputation, cross-deal recovery sum, or asset identifiers.</x:v>
      </x:c>
    </x:row>
    <x:row r="11" ht="58" customHeight="1">
      <x:c r="A11" s="20" t="str">
        <x:v>Source: Toyota recovery-component research</x:v>
      </x:c>
      <x:c r="B11" s="18" t="str">
        <x:v>docs/TOYOTA_RECOVERY_COMPONENT_EXCEPTION_LEDGER_VI.md</x:v>
      </x:c>
    </x:row>
    <x:row r="12" ht="58" customHeight="1">
      <x:c r="A12" s="20" t="str">
        <x:v>Source: Nissan event / DPD / recovery research</x:v>
      </x:c>
      <x:c r="B12" s="18" t="str">
        <x:v>docs/NISSAN_2024B_EXCEPTION_LEDGER_VI.md</x:v>
      </x:c>
    </x:row>
    <x:row r="13" ht="58" customHeight="1">
      <x:c r="A13" s="20" t="str">
        <x:v>SEC public filings</x:v>
      </x:c>
      <x:c r="B13" s="18" t="str">
        <x:v>Open report-period filings from the Period ledger: ABS-EE and certificate accessions are separately linked on every row.</x:v>
      </x:c>
    </x:row>
  </x:sheetData>
  <x:mergeCells>
    <x:mergeCell ref="A1:B1"/>
  </x:mergeCells>
  <x:pageMargins left="0.7" right="0.7" top="0.75" bottom="0.75" header="0.3" footer="0.3"/>
</x:worksheet>
</file>