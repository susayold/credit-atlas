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b5423dedaf4c61" /></Relationships>
</file>

<file path=xl/workbook.xml><?xml version="1.0" encoding="utf-8"?>
<x:workbook xmlns:x="http://schemas.openxmlformats.org/spreadsheetml/2006/main">
  <x:sheets>
    <x:sheet xmlns:r="http://schemas.openxmlformats.org/officeDocument/2006/relationships" name="Summary" sheetId="1" r:id="Rb7339742a459482e"/>
    <x:sheet xmlns:r="http://schemas.openxmlformats.org/officeDocument/2006/relationships" name="By year" sheetId="2" r:id="R05cc2595caca4912"/>
    <x:sheet xmlns:r="http://schemas.openxmlformats.org/officeDocument/2006/relationships" name="By country" sheetId="3" r:id="Re0c6f9aafec345af"/>
    <x:sheet xmlns:r="http://schemas.openxmlformats.org/officeDocument/2006/relationships" name="Country x year" sheetId="4" r:id="R775fce907c0e4c27"/>
    <x:sheet xmlns:r="http://schemas.openxmlformats.org/officeDocument/2006/relationships" name="Maturity diagnostic" sheetId="5" r:id="R9a5c548fa6674e2f"/>
    <x:sheet xmlns:r="http://schemas.openxmlformats.org/officeDocument/2006/relationships" name="Methods and limits" sheetId="6" r:id="R0d857a90b70e40f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name val="Carlito"/>
    </x:font>
    <x:font>
      <x:b/>
      <x:sz val="16"/>
      <x:color rgb="FFFFFFFF"/>
      <x:name val="Aptos Display"/>
    </x:font>
    <x:font>
      <x:sz val="10"/>
      <x:color rgb="FF17324D"/>
      <x:name val="Carlito"/>
    </x:font>
    <x:font>
      <x:b/>
      <x:sz val="11"/>
      <x:color rgb="FFFFFFFF"/>
      <x:name val="Carlito"/>
    </x:font>
    <x:font>
      <x:b/>
      <x:sz val="11"/>
      <x:color rgb="FF17324D"/>
      <x:name val="Carlito"/>
    </x:font>
    <x:font>
      <x:sz val="11"/>
      <x:color rgb="FF664D03"/>
      <x:name val="Carlito"/>
    </x:font>
    <x:font>
      <x:sz val="11"/>
      <x:color rgb="FF7A271A"/>
      <x:name val="Carlito"/>
    </x:font>
  </x:fonts>
  <x:fills count="7">
    <x:fill>
      <x:patternFill patternType="none"/>
    </x:fill>
    <x:fill>
      <x:patternFill patternType="gray125"/>
    </x:fill>
    <x:fill>
      <x:patternFill patternType="solid">
        <x:fgColor rgb="FF17324D"/>
      </x:patternFill>
    </x:fill>
    <x:fill>
      <x:patternFill patternType="solid">
        <x:fgColor rgb="FFE9F1F6"/>
      </x:patternFill>
    </x:fill>
    <x:fill>
      <x:patternFill patternType="solid">
        <x:fgColor rgb="FF315E7D"/>
      </x:patternFill>
    </x:fill>
    <x:fill>
      <x:patternFill patternType="solid">
        <x:fgColor rgb="FFFFF2D8"/>
      </x:patternFill>
    </x:fill>
    <x:fill>
      <x:patternFill patternType="solid">
        <x:fgColor rgb="FFFCE8E6"/>
      </x:patternFill>
    </x:fill>
  </x:fills>
  <x:borders count="1">
    <x:border>
      <x:left/>
      <x:right/>
      <x:top/>
      <x:bottom/>
      <x:diagonal/>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horizontal="center"/>
    </x:xf>
    <x:xf numFmtId="200" fontId="4" fillId="0" borderId="0"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0" fontId="0"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05254238cb431e" /><Relationship Type="http://schemas.openxmlformats.org/officeDocument/2006/relationships/theme" Target="/xl/theme/theme1.xml" Id="Rec11539c9f9147cf" /><Relationship Type="http://schemas.openxmlformats.org/officeDocument/2006/relationships/sharedStrings" Target="/xl/sharedStrings.xml" Id="Rca4a095b37784175" /><Relationship Type="http://schemas.openxmlformats.org/officeDocument/2006/relationships/worksheet" Target="/xl/worksheets/sheet1.xml" Id="Rb7339742a459482e" /><Relationship Type="http://schemas.openxmlformats.org/officeDocument/2006/relationships/worksheet" Target="/xl/worksheets/sheet2.xml" Id="R05cc2595caca4912" /><Relationship Type="http://schemas.openxmlformats.org/officeDocument/2006/relationships/worksheet" Target="/xl/worksheets/sheet3.xml" Id="Re0c6f9aafec345af" /><Relationship Type="http://schemas.openxmlformats.org/officeDocument/2006/relationships/worksheet" Target="/xl/worksheets/sheet4.xml" Id="R775fce907c0e4c27" /><Relationship Type="http://schemas.openxmlformats.org/officeDocument/2006/relationships/worksheet" Target="/xl/worksheets/sheet5.xml" Id="R9a5c548fa6674e2f" /><Relationship Type="http://schemas.openxmlformats.org/officeDocument/2006/relationships/worksheet" Target="/xl/worksheets/sheet6.xml" Id="R0d857a90b70e40f2" /></Relationships>
</file>

<file path=xl/tables/table1.xml><?xml version="1.0" encoding="utf-8"?>
<x:table xmlns:x="http://schemas.openxmlformats.org/spreadsheetml/2006/main" id="1" name="BondoraByOriginationYear" displayName="BondoraByOriginationYear" ref="A1:F19" headerRowCount="1" totalsRowCount="0" totalsRowShown="0">
  <x:tableColumns count="6">
    <x:tableColumn id="1" name="Origination year"/>
    <x:tableColumn id="2" name="Loans"/>
    <x:tableColumn id="3" name="Label true"/>
    <x:tableColumn id="4" name="Label false"/>
    <x:tableColumn id="5" name="Label NULL"/>
    <x:tableColumn id="6" name="Known-label coverage"/>
  </x:tableColumns>
  <x:tableStyleInfo name="TableStyleMedium2" showFirstColumn="0" showLastColumn="0" showRowStripes="1" showColumnStripes="0"/>
</x:table>
</file>

<file path=xl/tables/table2.xml><?xml version="1.0" encoding="utf-8"?>
<x:table xmlns:x="http://schemas.openxmlformats.org/spreadsheetml/2006/main" id="2" name="BondoraCountrySupport" displayName="BondoraCountrySupport" ref="A1:H9" headerRowCount="1" totalsRowCount="0" totalsRowShown="0">
  <x:tableColumns count="8">
    <x:tableColumn id="1" name="Country"/>
    <x:tableColumn id="2" name="Loans"/>
    <x:tableColumn id="3" name="Label true"/>
    <x:tableColumn id="4" name="Label false"/>
    <x:tableColumn id="5" name="Label NULL"/>
    <x:tableColumn id="6" name="Known-label coverage"/>
    <x:tableColumn id="7" name="Issue date span"/>
    <x:tableColumn id="8" name="Small-cell suppressed"/>
  </x:tableColumns>
  <x:tableStyleInfo name="TableStyleMedium2" showFirstColumn="0" showLastColumn="0" showRowStripes="1" showColumnStripes="0"/>
</x:table>
</file>

<file path=xl/tables/table3.xml><?xml version="1.0" encoding="utf-8"?>
<x:table xmlns:x="http://schemas.openxmlformats.org/spreadsheetml/2006/main" id="3" name="BondoraCountryYearSupport" displayName="BondoraCountryYearSupport" ref="A1:G59" headerRowCount="1" totalsRowCount="0" totalsRowShown="0">
  <x:tableColumns count="7">
    <x:tableColumn id="1" name="Country"/>
    <x:tableColumn id="2" name="Origination year"/>
    <x:tableColumn id="3" name="Loans"/>
    <x:tableColumn id="4" name="Label true"/>
    <x:tableColumn id="5" name="Label false"/>
    <x:tableColumn id="6" name="Label NULL"/>
    <x:tableColumn id="7" name="Small-cell suppressed"/>
  </x:tableColumns>
  <x:tableStyleInfo name="TableStyleMedium2" showFirstColumn="0" showLastColumn="0" showRowStripes="1" showColumnStripes="0"/>
</x:table>
</file>

<file path=xl/tables/table4.xml><?xml version="1.0" encoding="utf-8"?>
<x:table xmlns:x="http://schemas.openxmlformats.org/spreadsheetml/2006/main" id="4" name="BondoraMaturityDiagnostics" displayName="BondoraMaturityDiagnostics" ref="A1:H97" headerRowCount="1" totalsRowCount="0" totalsRowShown="0">
  <x:tableColumns count="8">
    <x:tableColumn id="1" name="Support grain"/>
    <x:tableColumn id="2" name="Country / year"/>
    <x:tableColumn id="3" name="File-date maturity proxy"/>
    <x:tableColumn id="4" name="Loans"/>
    <x:tableColumn id="5" name="Label true"/>
    <x:tableColumn id="6" name="Label false"/>
    <x:tableColumn id="7" name="Label NULL"/>
    <x:tableColumn id="8" name="Suppres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ab84c96abc4786" /></Relationships>
</file>

<file path=xl/worksheets/_rels/sheet3.xml.rels>&#65279;<?xml version="1.0" encoding="utf-8"?><Relationships xmlns="http://schemas.openxmlformats.org/package/2006/relationships"><Relationship Type="http://schemas.openxmlformats.org/officeDocument/2006/relationships/table" Target="/xl/tables/table2.xml" Id="Rde17f20ce7eb428e" /></Relationships>
</file>

<file path=xl/worksheets/_rels/sheet4.xml.rels>&#65279;<?xml version="1.0" encoding="utf-8"?><Relationships xmlns="http://schemas.openxmlformats.org/package/2006/relationships"><Relationship Type="http://schemas.openxmlformats.org/officeDocument/2006/relationships/table" Target="/xl/tables/table3.xml" Id="R9c0ddbb9b19048fa" /></Relationships>
</file>

<file path=xl/worksheets/_rels/sheet5.xml.rels>&#65279;<?xml version="1.0" encoding="utf-8"?><Relationships xmlns="http://schemas.openxmlformats.org/package/2006/relationships"><Relationship Type="http://schemas.openxmlformats.org/officeDocument/2006/relationships/table" Target="/xl/tables/table4.xml" Id="Rb5be4d80acf5479a"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3" hidden="0" customWidth="1"/>
    <x:col min="2" max="2" width="25" hidden="0" customWidth="1"/>
    <x:col min="3" max="3" width="24" hidden="0" customWidth="1"/>
    <x:col min="4" max="4" width="68" hidden="0" customWidth="1"/>
    <x:col min="5" max="5" width="18" hidden="0" customWidth="1"/>
    <x:col min="6" max="6" width="18" hidden="0" customWidth="1"/>
    <x:col min="7" max="7" width="18" hidden="0" customWidth="1"/>
    <x:col min="8" max="8" width="18" hidden="0" customWidth="1"/>
  </x:cols>
  <x:sheetData>
    <x:row r="1" ht="40" customHeight="1">
      <x:c r="A1" s="3" t="str">
        <x:v>Bondora · 12-MOB label and cohort support audit</x:v>
      </x:c>
      <x:c r="B1" s="3"/>
      <x:c r="C1" s="3"/>
      <x:c r="D1" s="3"/>
      <x:c r="E1" s="3"/>
      <x:c r="F1" s="3"/>
      <x:c r="G1" s="3"/>
      <x:c r="H1" s="3"/>
    </x:row>
    <x:row r="2" ht="24" customHeight="1">
      <x:c r="A2" s="6" t="str">
        <x:v>Aggregate-only qualification of the private 789,144-row public dataset snapshot · no loan IDs or loan-level rows</x:v>
      </x:c>
      <x:c r="B2" s="6"/>
      <x:c r="C2" s="6"/>
      <x:c r="D2" s="6"/>
      <x:c r="E2" s="6"/>
      <x:c r="F2" s="6"/>
      <x:c r="G2" s="6"/>
      <x:c r="H2" s="6"/>
    </x:row>
    <x:row r="4">
      <x:c r="A4" s="9" t="str">
        <x:v>Source / label control</x:v>
      </x:c>
      <x:c r="B4" s="9" t="str">
        <x:v>Recalculated result</x:v>
      </x:c>
    </x:row>
    <x:row r="5" ht="30" customHeight="1">
      <x:c r="A5" s="11" t="str">
        <x:v>Source rows</x:v>
      </x:c>
      <x:c r="B5" s="14" t="n">
        <x:f>SUM('By year'!$B$2:$B$19)</x:f>
        <x:v>789144</x:v>
      </x:c>
    </x:row>
    <x:row r="6" ht="30" customHeight="1">
      <x:c r="A6" s="11" t="str">
        <x:v>12-MOB label = true</x:v>
      </x:c>
      <x:c r="B6" s="14" t="n">
        <x:f>SUM('By year'!$C$2:$C$19)</x:f>
        <x:v>86618</x:v>
      </x:c>
    </x:row>
    <x:row r="7" ht="30" customHeight="1">
      <x:c r="A7" s="11" t="str">
        <x:v>12-MOB label = false</x:v>
      </x:c>
      <x:c r="B7" s="14" t="n">
        <x:f>SUM('By year'!$D$2:$D$19)</x:f>
        <x:v>520246</x:v>
      </x:c>
    </x:row>
    <x:row r="8" ht="30" customHeight="1">
      <x:c r="A8" s="11" t="str">
        <x:v>12-MOB label = NULL / not measurable</x:v>
      </x:c>
      <x:c r="B8" s="14" t="n">
        <x:f>SUM('By year'!$E$2:$E$19)</x:f>
        <x:v>182280</x:v>
      </x:c>
    </x:row>
    <x:row r="11" ht="38" customHeight="1">
      <x:c r="A11" s="9" t="str">
        <x:v>Snapshot maturity diagnostic</x:v>
      </x:c>
      <x:c r="B11" s="9" t="str">
        <x:v>Loans</x:v>
      </x:c>
      <x:c r="C11" s="9" t="str">
        <x:v>12-MOB NULL</x:v>
      </x:c>
      <x:c r="D11" s="9" t="str">
        <x:v>Interpretation</x:v>
      </x:c>
    </x:row>
    <x:row r="12" ht="46" customHeight="1">
      <x:c r="A12" s="17" t="str">
        <x:v>Mature by file-date proxy</x:v>
      </x:c>
      <x:c r="B12" s="18" t="n">
        <x:v>617724</x:v>
      </x:c>
      <x:c r="C12" s="18" t="n">
        <x:v>10860</x:v>
      </x:c>
      <x:c r="D12" s="15" t="str">
        <x:v>Issue date + 12 calendar months ≤ 2026-08-10</x:v>
      </x:c>
    </x:row>
    <x:row r="13" ht="46" customHeight="1">
      <x:c r="A13" s="17" t="str">
        <x:v>Not mature by file-date proxy</x:v>
      </x:c>
      <x:c r="B13" s="18" t="n">
        <x:v>171420</x:v>
      </x:c>
      <x:c r="C13" s="18" t="n">
        <x:v>171420</x:v>
      </x:c>
      <x:c r="D13" s="15" t="str">
        <x:v>NULL is expected under this proxy; do not treat as a negative</x:v>
      </x:c>
    </x:row>
    <x:row r="14" ht="46" customHeight="1">
      <x:c r="A14" s="17" t="str">
        <x:v>Proxy-mature NULL with no later action evidence</x:v>
      </x:c>
      <x:c r="B14" s="18"/>
      <x:c r="C14" s="18" t="n">
        <x:v>10860</x:v>
      </x:c>
      <x:c r="D14" s="15" t="str">
        <x:v>7996 have no last-action date; 2864 have action before 12-month anniversary</x:v>
      </x:c>
    </x:row>
    <x:row r="16">
      <x:c r="A16" s="22" t="str">
        <x:v>Critical limitation: file Last-Modified is only a cutoff proxy, not proof of per-loan observation through 12 months. Do not replace the 10,860 proxy-mature NULLs with false. They have no recorded action on or after the assumed 12-month anniversary. The source does not establish why these labels remain NULL.</x:v>
      </x:c>
      <x:c r="B16" s="22"/>
      <x:c r="C16" s="22"/>
      <x:c r="D16" s="22"/>
      <x:c r="E16" s="22"/>
      <x:c r="F16" s="22"/>
      <x:c r="G16" s="22"/>
      <x:c r="H16" s="22"/>
    </x:row>
    <x:row r="17">
      <x:c r="A17" s="22"/>
      <x:c r="B17" s="22"/>
      <x:c r="C17" s="22"/>
      <x:c r="D17" s="22"/>
      <x:c r="E17" s="22"/>
      <x:c r="F17" s="22"/>
      <x:c r="G17" s="22"/>
      <x:c r="H17" s="22"/>
    </x:row>
    <x:row r="18">
      <x:c r="A18" s="22"/>
      <x:c r="B18" s="22"/>
      <x:c r="C18" s="22"/>
      <x:c r="D18" s="22"/>
      <x:c r="E18" s="22"/>
      <x:c r="F18" s="22"/>
      <x:c r="G18" s="22"/>
      <x:c r="H18" s="22"/>
    </x:row>
    <x:row r="19">
      <x:c r="A19" s="22"/>
      <x:c r="B19" s="22"/>
      <x:c r="C19" s="22"/>
      <x:c r="D19" s="22"/>
      <x:c r="E19" s="22"/>
      <x:c r="F19" s="22"/>
      <x:c r="G19" s="22"/>
      <x:c r="H19" s="22"/>
    </x:row>
    <x:row r="21">
      <x:c r="A21" s="26" t="str">
        <x:v>No model, forecast, imputation, PD estimate, calibration or country ranking was produced. Country and year tables describe the downloaded snapshot only; markets and vintage periods have different coverage and label maturity.</x:v>
      </x:c>
      <x:c r="B21" s="26"/>
      <x:c r="C21" s="26"/>
      <x:c r="D21" s="26"/>
      <x:c r="E21" s="26"/>
      <x:c r="F21" s="26"/>
      <x:c r="G21" s="26"/>
      <x:c r="H21" s="26"/>
    </x:row>
    <x:row r="22">
      <x:c r="A22" s="26"/>
      <x:c r="B22" s="26"/>
      <x:c r="C22" s="26"/>
      <x:c r="D22" s="26"/>
      <x:c r="E22" s="26"/>
      <x:c r="F22" s="26"/>
      <x:c r="G22" s="26"/>
      <x:c r="H22" s="26"/>
    </x:row>
    <x:row r="23">
      <x:c r="A23" s="26"/>
      <x:c r="B23" s="26"/>
      <x:c r="C23" s="26"/>
      <x:c r="D23" s="26"/>
      <x:c r="E23" s="26"/>
      <x:c r="F23" s="26"/>
      <x:c r="G23" s="26"/>
      <x:c r="H23" s="26"/>
    </x:row>
    <x:row r="24">
      <x:c r="A24" s="26"/>
      <x:c r="B24" s="26"/>
      <x:c r="C24" s="26"/>
      <x:c r="D24" s="26"/>
      <x:c r="E24" s="26"/>
      <x:c r="F24" s="26"/>
      <x:c r="G24" s="26"/>
      <x:c r="H24" s="26"/>
    </x:row>
  </x:sheetData>
  <x:mergeCells>
    <x:mergeCell ref="A1:H1"/>
    <x:mergeCell ref="A2:H2"/>
    <x:mergeCell ref="A16:H19"/>
    <x:mergeCell ref="A21:H24"/>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17" hidden="0" customWidth="1"/>
    <x:col min="3" max="3" width="17" hidden="0" customWidth="1"/>
    <x:col min="4" max="4" width="17" hidden="0" customWidth="1"/>
    <x:col min="5" max="5" width="17" hidden="0" customWidth="1"/>
    <x:col min="6" max="6" width="27" hidden="0" customWidth="1"/>
  </x:cols>
  <x:sheetData>
    <x:row r="1" ht="36" customHeight="1">
      <x:c r="A1" s="28" t="str">
        <x:v>Origination year</x:v>
      </x:c>
      <x:c r="B1" s="28" t="str">
        <x:v>Loans</x:v>
      </x:c>
      <x:c r="C1" s="28" t="str">
        <x:v>Label true</x:v>
      </x:c>
      <x:c r="D1" s="28" t="str">
        <x:v>Label false</x:v>
      </x:c>
      <x:c r="E1" s="28" t="str">
        <x:v>Label NULL</x:v>
      </x:c>
      <x:c r="F1" s="28" t="str">
        <x:v>Known-label coverage</x:v>
      </x:c>
    </x:row>
    <x:row r="2">
      <x:c r="A2" s="11" t="str">
        <x:v>2009</x:v>
      </x:c>
      <x:c r="B2" s="30" t="n">
        <x:v>667</x:v>
      </x:c>
      <x:c r="C2" s="30" t="n">
        <x:v>225</x:v>
      </x:c>
      <x:c r="D2" s="30" t="n">
        <x:v>442</x:v>
      </x:c>
      <x:c r="E2" s="30" t="n">
        <x:v>0</x:v>
      </x:c>
      <x:c r="F2" s="29" t="n">
        <x:f>IFERROR((C2+D2)/B2,"")</x:f>
        <x:v>1</x:v>
      </x:c>
    </x:row>
    <x:row r="3">
      <x:c r="A3" s="11" t="str">
        <x:v>2010</x:v>
      </x:c>
      <x:c r="B3" s="30" t="n">
        <x:v>1163</x:v>
      </x:c>
      <x:c r="C3" s="30" t="n">
        <x:v>311</x:v>
      </x:c>
      <x:c r="D3" s="30" t="n">
        <x:v>852</x:v>
      </x:c>
      <x:c r="E3" s="30" t="n">
        <x:v>0</x:v>
      </x:c>
      <x:c r="F3" s="29" t="n">
        <x:f>IFERROR((C3+D3)/B3,"")</x:f>
        <x:v>1</x:v>
      </x:c>
    </x:row>
    <x:row r="4">
      <x:c r="A4" s="11" t="str">
        <x:v>2011</x:v>
      </x:c>
      <x:c r="B4" s="30" t="n">
        <x:v>451</x:v>
      </x:c>
      <x:c r="C4" s="30" t="n">
        <x:v>68</x:v>
      </x:c>
      <x:c r="D4" s="30" t="n">
        <x:v>383</x:v>
      </x:c>
      <x:c r="E4" s="30" t="n">
        <x:v>0</x:v>
      </x:c>
      <x:c r="F4" s="29" t="n">
        <x:f>IFERROR((C4+D4)/B4,"")</x:f>
        <x:v>1</x:v>
      </x:c>
    </x:row>
    <x:row r="5">
      <x:c r="A5" s="11" t="str">
        <x:v>2012</x:v>
      </x:c>
      <x:c r="B5" s="30" t="n">
        <x:v>457</x:v>
      </x:c>
      <x:c r="C5" s="30" t="n">
        <x:v>42</x:v>
      </x:c>
      <x:c r="D5" s="30" t="n">
        <x:v>415</x:v>
      </x:c>
      <x:c r="E5" s="30" t="n">
        <x:v>0</x:v>
      </x:c>
      <x:c r="F5" s="29" t="n">
        <x:f>IFERROR((C5+D5)/B5,"")</x:f>
        <x:v>1</x:v>
      </x:c>
    </x:row>
    <x:row r="6">
      <x:c r="A6" s="11" t="str">
        <x:v>2013</x:v>
      </x:c>
      <x:c r="B6" s="30" t="n">
        <x:v>2519</x:v>
      </x:c>
      <x:c r="C6" s="30" t="n">
        <x:v>336</x:v>
      </x:c>
      <x:c r="D6" s="30" t="n">
        <x:v>2183</x:v>
      </x:c>
      <x:c r="E6" s="30" t="n">
        <x:v>0</x:v>
      </x:c>
      <x:c r="F6" s="29" t="n">
        <x:f>IFERROR((C6+D6)/B6,"")</x:f>
        <x:v>1</x:v>
      </x:c>
    </x:row>
    <x:row r="7">
      <x:c r="A7" s="11" t="str">
        <x:v>2014</x:v>
      </x:c>
      <x:c r="B7" s="30" t="n">
        <x:v>8713</x:v>
      </x:c>
      <x:c r="C7" s="30" t="n">
        <x:v>2168</x:v>
      </x:c>
      <x:c r="D7" s="30" t="n">
        <x:v>6545</x:v>
      </x:c>
      <x:c r="E7" s="30" t="n">
        <x:v>0</x:v>
      </x:c>
      <x:c r="F7" s="29" t="n">
        <x:f>IFERROR((C7+D7)/B7,"")</x:f>
        <x:v>1</x:v>
      </x:c>
    </x:row>
    <x:row r="8">
      <x:c r="A8" s="11" t="str">
        <x:v>2015</x:v>
      </x:c>
      <x:c r="B8" s="30" t="n">
        <x:v>14338</x:v>
      </x:c>
      <x:c r="C8" s="30" t="n">
        <x:v>2620</x:v>
      </x:c>
      <x:c r="D8" s="30" t="n">
        <x:v>11718</x:v>
      </x:c>
      <x:c r="E8" s="30" t="n">
        <x:v>0</x:v>
      </x:c>
      <x:c r="F8" s="29" t="n">
        <x:f>IFERROR((C8+D8)/B8,"")</x:f>
        <x:v>1</x:v>
      </x:c>
    </x:row>
    <x:row r="9">
      <x:c r="A9" s="11" t="str">
        <x:v>2016</x:v>
      </x:c>
      <x:c r="B9" s="30" t="n">
        <x:v>10539</x:v>
      </x:c>
      <x:c r="C9" s="30" t="n">
        <x:v>3669</x:v>
      </x:c>
      <x:c r="D9" s="30" t="n">
        <x:v>6870</x:v>
      </x:c>
      <x:c r="E9" s="30" t="n">
        <x:v>0</x:v>
      </x:c>
      <x:c r="F9" s="29" t="n">
        <x:f>IFERROR((C9+D9)/B9,"")</x:f>
        <x:v>1</x:v>
      </x:c>
    </x:row>
    <x:row r="10">
      <x:c r="A10" s="11" t="str">
        <x:v>2017</x:v>
      </x:c>
      <x:c r="B10" s="30" t="n">
        <x:v>17990</x:v>
      </x:c>
      <x:c r="C10" s="30" t="n">
        <x:v>6572</x:v>
      </x:c>
      <x:c r="D10" s="30" t="n">
        <x:v>11418</x:v>
      </x:c>
      <x:c r="E10" s="30" t="n">
        <x:v>0</x:v>
      </x:c>
      <x:c r="F10" s="29" t="n">
        <x:f>IFERROR((C10+D10)/B10,"")</x:f>
        <x:v>1</x:v>
      </x:c>
    </x:row>
    <x:row r="11">
      <x:c r="A11" s="11" t="str">
        <x:v>2018</x:v>
      </x:c>
      <x:c r="B11" s="30" t="n">
        <x:v>25359</x:v>
      </x:c>
      <x:c r="C11" s="30" t="n">
        <x:v>6806</x:v>
      </x:c>
      <x:c r="D11" s="30" t="n">
        <x:v>18553</x:v>
      </x:c>
      <x:c r="E11" s="30" t="n">
        <x:v>0</x:v>
      </x:c>
      <x:c r="F11" s="29" t="n">
        <x:f>IFERROR((C11+D11)/B11,"")</x:f>
        <x:v>1</x:v>
      </x:c>
    </x:row>
    <x:row r="12">
      <x:c r="A12" s="11" t="str">
        <x:v>2019</x:v>
      </x:c>
      <x:c r="B12" s="30" t="n">
        <x:v>56506</x:v>
      </x:c>
      <x:c r="C12" s="30" t="n">
        <x:v>16698</x:v>
      </x:c>
      <x:c r="D12" s="30" t="n">
        <x:v>39808</x:v>
      </x:c>
      <x:c r="E12" s="30" t="n">
        <x:v>0</x:v>
      </x:c>
      <x:c r="F12" s="29" t="n">
        <x:f>IFERROR((C12+D12)/B12,"")</x:f>
        <x:v>1</x:v>
      </x:c>
    </x:row>
    <x:row r="13">
      <x:c r="A13" s="11" t="str">
        <x:v>2020</x:v>
      </x:c>
      <x:c r="B13" s="30" t="n">
        <x:v>27874</x:v>
      </x:c>
      <x:c r="C13" s="30" t="n">
        <x:v>4816</x:v>
      </x:c>
      <x:c r="D13" s="30" t="n">
        <x:v>23058</x:v>
      </x:c>
      <x:c r="E13" s="30" t="n">
        <x:v>0</x:v>
      </x:c>
      <x:c r="F13" s="29" t="n">
        <x:f>IFERROR((C13+D13)/B13,"")</x:f>
        <x:v>1</x:v>
      </x:c>
    </x:row>
    <x:row r="14">
      <x:c r="A14" s="11" t="str">
        <x:v>2021</x:v>
      </x:c>
      <x:c r="B14" s="30" t="n">
        <x:v>51742</x:v>
      </x:c>
      <x:c r="C14" s="30" t="n">
        <x:v>5327</x:v>
      </x:c>
      <x:c r="D14" s="30" t="n">
        <x:v>46415</x:v>
      </x:c>
      <x:c r="E14" s="30" t="n">
        <x:v>0</x:v>
      </x:c>
      <x:c r="F14" s="29" t="n">
        <x:f>IFERROR((C14+D14)/B14,"")</x:f>
        <x:v>1</x:v>
      </x:c>
    </x:row>
    <x:row r="15">
      <x:c r="A15" s="11" t="str">
        <x:v>2022</x:v>
      </x:c>
      <x:c r="B15" s="30" t="n">
        <x:v>63594</x:v>
      </x:c>
      <x:c r="C15" s="30" t="n">
        <x:v>8502</x:v>
      </x:c>
      <x:c r="D15" s="30" t="n">
        <x:v>55092</x:v>
      </x:c>
      <x:c r="E15" s="30" t="n">
        <x:v>0</x:v>
      </x:c>
      <x:c r="F15" s="29" t="n">
        <x:f>IFERROR((C15+D15)/B15,"")</x:f>
        <x:v>1</x:v>
      </x:c>
    </x:row>
    <x:row r="16">
      <x:c r="A16" s="11" t="str">
        <x:v>2023</x:v>
      </x:c>
      <x:c r="B16" s="30" t="n">
        <x:v>81556</x:v>
      </x:c>
      <x:c r="C16" s="30" t="n">
        <x:v>8863</x:v>
      </x:c>
      <x:c r="D16" s="30" t="n">
        <x:v>72693</x:v>
      </x:c>
      <x:c r="E16" s="30" t="n">
        <x:v>0</x:v>
      </x:c>
      <x:c r="F16" s="29" t="n">
        <x:f>IFERROR((C16+D16)/B16,"")</x:f>
        <x:v>1</x:v>
      </x:c>
    </x:row>
    <x:row r="17">
      <x:c r="A17" s="11" t="str">
        <x:v>2024</x:v>
      </x:c>
      <x:c r="B17" s="30" t="n">
        <x:v>147255</x:v>
      </x:c>
      <x:c r="C17" s="30" t="n">
        <x:v>12096</x:v>
      </x:c>
      <x:c r="D17" s="30" t="n">
        <x:v>135159</x:v>
      </x:c>
      <x:c r="E17" s="30" t="n">
        <x:v>0</x:v>
      </x:c>
      <x:c r="F17" s="29" t="n">
        <x:f>IFERROR((C17+D17)/B17,"")</x:f>
        <x:v>1</x:v>
      </x:c>
    </x:row>
    <x:row r="18">
      <x:c r="A18" s="11" t="str">
        <x:v>2025</x:v>
      </x:c>
      <x:c r="B18" s="30" t="n">
        <x:v>182056</x:v>
      </x:c>
      <x:c r="C18" s="30" t="n">
        <x:v>7499</x:v>
      </x:c>
      <x:c r="D18" s="30" t="n">
        <x:v>88642</x:v>
      </x:c>
      <x:c r="E18" s="30" t="n">
        <x:v>85915</x:v>
      </x:c>
      <x:c r="F18" s="29" t="n">
        <x:f>IFERROR((C18+D18)/B18,"")</x:f>
        <x:v>0.5280847651272136</x:v>
      </x:c>
    </x:row>
    <x:row r="19">
      <x:c r="A19" s="11" t="str">
        <x:v>2026</x:v>
      </x:c>
      <x:c r="B19" s="30" t="n">
        <x:v>96365</x:v>
      </x:c>
      <x:c r="C19" s="30" t="n">
        <x:v>0</x:v>
      </x:c>
      <x:c r="D19" s="30" t="n">
        <x:v>0</x:v>
      </x:c>
      <x:c r="E19" s="30" t="n">
        <x:v>96365</x:v>
      </x:c>
      <x:c r="F19" s="29" t="n">
        <x:f>IFERROR((C19+D19)/B19,"")</x:f>
        <x:v>0</x:v>
      </x:c>
    </x:row>
  </x:sheetData>
  <x:pageMargins left="0.7" right="0.7" top="0.75" bottom="0.75" header="0.3" footer="0.3"/>
  <x:tableParts count="1">
    <x:tablePart xmlns:r="http://schemas.openxmlformats.org/officeDocument/2006/relationships" r:id="R6bab84c96abc478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16" hidden="0" customWidth="1"/>
    <x:col min="4" max="4" width="16" hidden="0" customWidth="1"/>
    <x:col min="5" max="5" width="16" hidden="0" customWidth="1"/>
    <x:col min="6" max="6" width="24" hidden="0" customWidth="1"/>
    <x:col min="7" max="7" width="30" hidden="0" customWidth="1"/>
    <x:col min="8" max="8" width="24" hidden="0" customWidth="1"/>
  </x:cols>
  <x:sheetData>
    <x:row r="1" ht="42" customHeight="1">
      <x:c r="A1" s="28" t="str">
        <x:v>Country</x:v>
      </x:c>
      <x:c r="B1" s="28" t="str">
        <x:v>Loans</x:v>
      </x:c>
      <x:c r="C1" s="28" t="str">
        <x:v>Label true</x:v>
      </x:c>
      <x:c r="D1" s="28" t="str">
        <x:v>Label false</x:v>
      </x:c>
      <x:c r="E1" s="28" t="str">
        <x:v>Label NULL</x:v>
      </x:c>
      <x:c r="F1" s="28" t="str">
        <x:v>Known-label coverage</x:v>
      </x:c>
      <x:c r="G1" s="28" t="str">
        <x:v>Issue date span</x:v>
      </x:c>
      <x:c r="H1" s="28" t="str">
        <x:v>Small-cell suppressed</x:v>
      </x:c>
    </x:row>
    <x:row r="2">
      <x:c r="A2" s="11" t="str">
        <x:v>Denmark</x:v>
      </x:c>
      <x:c r="B2" s="30" t="n">
        <x:v>8888</x:v>
      </x:c>
      <x:c r="C2" s="30" t="n">
        <x:v>427</x:v>
      </x:c>
      <x:c r="D2" s="30" t="n">
        <x:v>669</x:v>
      </x:c>
      <x:c r="E2" s="30" t="n">
        <x:v>7792</x:v>
      </x:c>
      <x:c r="F2" s="29" t="n">
        <x:f>IFERROR((C2+D2)/B2,"")</x:f>
        <x:v>0.12331233123312331</x:v>
      </x:c>
      <x:c r="G2" s="11" t="str">
        <x:v>2025-01-23 to 2026-06-29</x:v>
      </x:c>
      <x:c r="H2" s="11" t="str">
        <x:v>No</x:v>
      </x:c>
    </x:row>
    <x:row r="3">
      <x:c r="A3" s="11" t="str">
        <x:v>Estonia</x:v>
      </x:c>
      <x:c r="B3" s="30" t="n">
        <x:v>240987</x:v>
      </x:c>
      <x:c r="C3" s="30" t="n">
        <x:v>28035</x:v>
      </x:c>
      <x:c r="D3" s="30" t="n">
        <x:v>183364</x:v>
      </x:c>
      <x:c r="E3" s="30" t="n">
        <x:v>29588</x:v>
      </x:c>
      <x:c r="F3" s="29" t="n">
        <x:f>IFERROR((C3+D3)/B3,"")</x:f>
        <x:v>0.8772215928660052</x:v>
      </x:c>
      <x:c r="G3" s="11" t="str">
        <x:v>2009-02-28 to 2026-06-30</x:v>
      </x:c>
      <x:c r="H3" s="11" t="str">
        <x:v>No</x:v>
      </x:c>
    </x:row>
    <x:row r="4">
      <x:c r="A4" s="11" t="str">
        <x:v>Finland</x:v>
      </x:c>
      <x:c r="B4" s="30" t="n">
        <x:v>427133</x:v>
      </x:c>
      <x:c r="C4" s="30" t="n">
        <x:v>37486</x:v>
      </x:c>
      <x:c r="D4" s="30" t="n">
        <x:v>276349</x:v>
      </x:c>
      <x:c r="E4" s="30" t="n">
        <x:v>113298</x:v>
      </x:c>
      <x:c r="F4" s="29" t="n">
        <x:f>IFERROR((C4+D4)/B4,"")</x:f>
        <x:v>0.7347477249474987</x:v>
      </x:c>
      <x:c r="G4" s="11" t="str">
        <x:v>2013-07-23 to 2026-06-30</x:v>
      </x:c>
      <x:c r="H4" s="11" t="str">
        <x:v>No</x:v>
      </x:c>
    </x:row>
    <x:row r="5">
      <x:c r="A5" s="11" t="str">
        <x:v>Latvia</x:v>
      </x:c>
      <x:c r="B5" s="30" t="n">
        <x:v>11557</x:v>
      </x:c>
      <x:c r="C5" s="30" t="n">
        <x:v>1696</x:v>
      </x:c>
      <x:c r="D5" s="30" t="n">
        <x:v>4086</x:v>
      </x:c>
      <x:c r="E5" s="30" t="n">
        <x:v>5775</x:v>
      </x:c>
      <x:c r="F5" s="29" t="n">
        <x:f>IFERROR((C5+D5)/B5,"")</x:f>
        <x:v>0.5003028467595396</x:v>
      </x:c>
      <x:c r="G5" s="11" t="str">
        <x:v>2023-12-08 to 2026-06-29</x:v>
      </x:c>
      <x:c r="H5" s="11" t="str">
        <x:v>No</x:v>
      </x:c>
    </x:row>
    <x:row r="6">
      <x:c r="A6" s="11" t="str">
        <x:v>Lithuania</x:v>
      </x:c>
      <x:c r="B6" s="30"/>
      <x:c r="C6" s="30"/>
      <x:c r="D6" s="30"/>
      <x:c r="E6" s="30"/>
      <x:c r="F6" s="29" t="str">
        <x:f>IFERROR((C6+D6)/B6,"")</x:f>
      </x:c>
      <x:c r="G6" s="11" t="str">
        <x:v>2025-03-28 to 2026-06-25</x:v>
      </x:c>
      <x:c r="H6" s="11" t="str">
        <x:v>Yes</x:v>
      </x:c>
    </x:row>
    <x:row r="7">
      <x:c r="A7" s="11" t="str">
        <x:v>Netherlands</x:v>
      </x:c>
      <x:c r="B7" s="30" t="n">
        <x:v>66005</x:v>
      </x:c>
      <x:c r="C7" s="30" t="n">
        <x:v>2094</x:v>
      </x:c>
      <x:c r="D7" s="30" t="n">
        <x:v>38090</x:v>
      </x:c>
      <x:c r="E7" s="30" t="n">
        <x:v>25821</x:v>
      </x:c>
      <x:c r="F7" s="29" t="n">
        <x:f>IFERROR((C7+D7)/B7,"")</x:f>
        <x:v>0.6088023634573139</x:v>
      </x:c>
      <x:c r="G7" s="11" t="str">
        <x:v>2022-09-23 to 2026-06-30</x:v>
      </x:c>
      <x:c r="H7" s="11" t="str">
        <x:v>No</x:v>
      </x:c>
    </x:row>
    <x:row r="8">
      <x:c r="A8" s="11" t="str">
        <x:v>Slovakia</x:v>
      </x:c>
      <x:c r="B8" s="30" t="n">
        <x:v>346</x:v>
      </x:c>
      <x:c r="C8" s="30" t="n">
        <x:v>209</x:v>
      </x:c>
      <x:c r="D8" s="30" t="n">
        <x:v>137</x:v>
      </x:c>
      <x:c r="E8" s="30" t="n">
        <x:v>0</x:v>
      </x:c>
      <x:c r="F8" s="29" t="n">
        <x:f>IFERROR((C8+D8)/B8,"")</x:f>
        <x:v>1</x:v>
      </x:c>
      <x:c r="G8" s="11" t="str">
        <x:v>2014-03-13 to 2015-01-05</x:v>
      </x:c>
      <x:c r="H8" s="11" t="str">
        <x:v>No</x:v>
      </x:c>
    </x:row>
    <x:row r="9">
      <x:c r="A9" s="11" t="str">
        <x:v>Spain</x:v>
      </x:c>
      <x:c r="B9" s="30" t="n">
        <x:v>34221</x:v>
      </x:c>
      <x:c r="C9" s="30" t="n">
        <x:v>16671</x:v>
      </x:c>
      <x:c r="D9" s="30" t="n">
        <x:v>17550</x:v>
      </x:c>
      <x:c r="E9" s="30" t="n">
        <x:v>0</x:v>
      </x:c>
      <x:c r="F9" s="29" t="n">
        <x:f>IFERROR((C9+D9)/B9,"")</x:f>
        <x:v>1</x:v>
      </x:c>
      <x:c r="G9" s="11" t="str">
        <x:v>2013-10-18 to 2023-10-11</x:v>
      </x:c>
      <x:c r="H9" s="11" t="str">
        <x:v>No</x:v>
      </x:c>
    </x:row>
  </x:sheetData>
  <x:pageMargins left="0.7" right="0.7" top="0.75" bottom="0.75" header="0.3" footer="0.3"/>
  <x:tableParts count="1">
    <x:tablePart xmlns:r="http://schemas.openxmlformats.org/officeDocument/2006/relationships" r:id="Rde17f20ce7eb428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18" hidden="0" customWidth="1"/>
    <x:col min="3" max="3" width="16" hidden="0" customWidth="1"/>
    <x:col min="4" max="4" width="16" hidden="0" customWidth="1"/>
    <x:col min="5" max="5" width="16" hidden="0" customWidth="1"/>
    <x:col min="6" max="6" width="16" hidden="0" customWidth="1"/>
    <x:col min="7" max="7" width="24" hidden="0" customWidth="1"/>
  </x:cols>
  <x:sheetData>
    <x:row r="1" ht="40" customHeight="1">
      <x:c r="A1" s="28" t="str">
        <x:v>Country</x:v>
      </x:c>
      <x:c r="B1" s="28" t="str">
        <x:v>Origination year</x:v>
      </x:c>
      <x:c r="C1" s="28" t="str">
        <x:v>Loans</x:v>
      </x:c>
      <x:c r="D1" s="28" t="str">
        <x:v>Label true</x:v>
      </x:c>
      <x:c r="E1" s="28" t="str">
        <x:v>Label false</x:v>
      </x:c>
      <x:c r="F1" s="28" t="str">
        <x:v>Label NULL</x:v>
      </x:c>
      <x:c r="G1" s="28" t="str">
        <x:v>Small-cell suppressed</x:v>
      </x:c>
    </x:row>
    <x:row r="2">
      <x:c r="A2" s="11" t="str">
        <x:v>Denmark</x:v>
      </x:c>
      <x:c r="B2" s="11" t="str">
        <x:v>2025</x:v>
      </x:c>
      <x:c r="C2" s="30" t="n">
        <x:v>3465</x:v>
      </x:c>
      <x:c r="D2" s="30" t="n">
        <x:v>427</x:v>
      </x:c>
      <x:c r="E2" s="30" t="n">
        <x:v>669</x:v>
      </x:c>
      <x:c r="F2" s="30" t="n">
        <x:v>2369</x:v>
      </x:c>
      <x:c r="G2" s="11" t="str">
        <x:v>No</x:v>
      </x:c>
    </x:row>
    <x:row r="3">
      <x:c r="A3" s="11" t="str">
        <x:v>Denmark</x:v>
      </x:c>
      <x:c r="B3" s="11" t="str">
        <x:v>2026</x:v>
      </x:c>
      <x:c r="C3" s="30" t="n">
        <x:v>5423</x:v>
      </x:c>
      <x:c r="D3" s="30" t="n">
        <x:v>0</x:v>
      </x:c>
      <x:c r="E3" s="30" t="n">
        <x:v>0</x:v>
      </x:c>
      <x:c r="F3" s="30" t="n">
        <x:v>5423</x:v>
      </x:c>
      <x:c r="G3" s="11" t="str">
        <x:v>No</x:v>
      </x:c>
    </x:row>
    <x:row r="4">
      <x:c r="A4" s="11" t="str">
        <x:v>Estonia</x:v>
      </x:c>
      <x:c r="B4" s="11" t="str">
        <x:v>2009</x:v>
      </x:c>
      <x:c r="C4" s="30" t="n">
        <x:v>667</x:v>
      </x:c>
      <x:c r="D4" s="30" t="n">
        <x:v>225</x:v>
      </x:c>
      <x:c r="E4" s="30" t="n">
        <x:v>442</x:v>
      </x:c>
      <x:c r="F4" s="30" t="n">
        <x:v>0</x:v>
      </x:c>
      <x:c r="G4" s="11" t="str">
        <x:v>No</x:v>
      </x:c>
    </x:row>
    <x:row r="5">
      <x:c r="A5" s="11" t="str">
        <x:v>Estonia</x:v>
      </x:c>
      <x:c r="B5" s="11" t="str">
        <x:v>2010</x:v>
      </x:c>
      <x:c r="C5" s="30" t="n">
        <x:v>1163</x:v>
      </x:c>
      <x:c r="D5" s="30" t="n">
        <x:v>311</x:v>
      </x:c>
      <x:c r="E5" s="30" t="n">
        <x:v>852</x:v>
      </x:c>
      <x:c r="F5" s="30" t="n">
        <x:v>0</x:v>
      </x:c>
      <x:c r="G5" s="11" t="str">
        <x:v>No</x:v>
      </x:c>
    </x:row>
    <x:row r="6">
      <x:c r="A6" s="11" t="str">
        <x:v>Estonia</x:v>
      </x:c>
      <x:c r="B6" s="11" t="str">
        <x:v>2011</x:v>
      </x:c>
      <x:c r="C6" s="30" t="n">
        <x:v>451</x:v>
      </x:c>
      <x:c r="D6" s="30" t="n">
        <x:v>68</x:v>
      </x:c>
      <x:c r="E6" s="30" t="n">
        <x:v>383</x:v>
      </x:c>
      <x:c r="F6" s="30" t="n">
        <x:v>0</x:v>
      </x:c>
      <x:c r="G6" s="11" t="str">
        <x:v>No</x:v>
      </x:c>
    </x:row>
    <x:row r="7">
      <x:c r="A7" s="11" t="str">
        <x:v>Estonia</x:v>
      </x:c>
      <x:c r="B7" s="11" t="str">
        <x:v>2012</x:v>
      </x:c>
      <x:c r="C7" s="30" t="n">
        <x:v>457</x:v>
      </x:c>
      <x:c r="D7" s="30" t="n">
        <x:v>42</x:v>
      </x:c>
      <x:c r="E7" s="30" t="n">
        <x:v>415</x:v>
      </x:c>
      <x:c r="F7" s="30" t="n">
        <x:v>0</x:v>
      </x:c>
      <x:c r="G7" s="11" t="str">
        <x:v>No</x:v>
      </x:c>
    </x:row>
    <x:row r="8">
      <x:c r="A8" s="11" t="str">
        <x:v>Estonia</x:v>
      </x:c>
      <x:c r="B8" s="11" t="str">
        <x:v>2013</x:v>
      </x:c>
      <x:c r="C8" s="30" t="n">
        <x:v>2293</x:v>
      </x:c>
      <x:c r="D8" s="30" t="n">
        <x:v>274</x:v>
      </x:c>
      <x:c r="E8" s="30" t="n">
        <x:v>2019</x:v>
      </x:c>
      <x:c r="F8" s="30" t="n">
        <x:v>0</x:v>
      </x:c>
      <x:c r="G8" s="11" t="str">
        <x:v>No</x:v>
      </x:c>
    </x:row>
    <x:row r="9">
      <x:c r="A9" s="11" t="str">
        <x:v>Estonia</x:v>
      </x:c>
      <x:c r="B9" s="11" t="str">
        <x:v>2014</x:v>
      </x:c>
      <x:c r="C9" s="30" t="n">
        <x:v>4601</x:v>
      </x:c>
      <x:c r="D9" s="30" t="n">
        <x:v>573</x:v>
      </x:c>
      <x:c r="E9" s="30" t="n">
        <x:v>4028</x:v>
      </x:c>
      <x:c r="F9" s="30" t="n">
        <x:v>0</x:v>
      </x:c>
      <x:c r="G9" s="11" t="str">
        <x:v>No</x:v>
      </x:c>
    </x:row>
    <x:row r="10">
      <x:c r="A10" s="11" t="str">
        <x:v>Estonia</x:v>
      </x:c>
      <x:c r="B10" s="11" t="str">
        <x:v>2015</x:v>
      </x:c>
      <x:c r="C10" s="30" t="n">
        <x:v>5886</x:v>
      </x:c>
      <x:c r="D10" s="30" t="n">
        <x:v>503</x:v>
      </x:c>
      <x:c r="E10" s="30" t="n">
        <x:v>5383</x:v>
      </x:c>
      <x:c r="F10" s="30" t="n">
        <x:v>0</x:v>
      </x:c>
      <x:c r="G10" s="11" t="str">
        <x:v>No</x:v>
      </x:c>
    </x:row>
    <x:row r="11">
      <x:c r="A11" s="11" t="str">
        <x:v>Estonia</x:v>
      </x:c>
      <x:c r="B11" s="11" t="str">
        <x:v>2016</x:v>
      </x:c>
      <x:c r="C11" s="30" t="n">
        <x:v>6030</x:v>
      </x:c>
      <x:c r="D11" s="30" t="n">
        <x:v>1305</x:v>
      </x:c>
      <x:c r="E11" s="30" t="n">
        <x:v>4725</x:v>
      </x:c>
      <x:c r="F11" s="30" t="n">
        <x:v>0</x:v>
      </x:c>
      <x:c r="G11" s="11" t="str">
        <x:v>No</x:v>
      </x:c>
    </x:row>
    <x:row r="12">
      <x:c r="A12" s="11" t="str">
        <x:v>Estonia</x:v>
      </x:c>
      <x:c r="B12" s="11" t="str">
        <x:v>2017</x:v>
      </x:c>
      <x:c r="C12" s="30" t="n">
        <x:v>11142</x:v>
      </x:c>
      <x:c r="D12" s="30" t="n">
        <x:v>2462</x:v>
      </x:c>
      <x:c r="E12" s="30" t="n">
        <x:v>8680</x:v>
      </x:c>
      <x:c r="F12" s="30" t="n">
        <x:v>0</x:v>
      </x:c>
      <x:c r="G12" s="11" t="str">
        <x:v>No</x:v>
      </x:c>
    </x:row>
    <x:row r="13">
      <x:c r="A13" s="11" t="str">
        <x:v>Estonia</x:v>
      </x:c>
      <x:c r="B13" s="11" t="str">
        <x:v>2018</x:v>
      </x:c>
      <x:c r="C13" s="30" t="n">
        <x:v>17152</x:v>
      </x:c>
      <x:c r="D13" s="30" t="n">
        <x:v>2865</x:v>
      </x:c>
      <x:c r="E13" s="30" t="n">
        <x:v>14287</x:v>
      </x:c>
      <x:c r="F13" s="30" t="n">
        <x:v>0</x:v>
      </x:c>
      <x:c r="G13" s="11" t="str">
        <x:v>No</x:v>
      </x:c>
    </x:row>
    <x:row r="14">
      <x:c r="A14" s="11" t="str">
        <x:v>Estonia</x:v>
      </x:c>
      <x:c r="B14" s="11" t="str">
        <x:v>2019</x:v>
      </x:c>
      <x:c r="C14" s="30" t="n">
        <x:v>28908</x:v>
      </x:c>
      <x:c r="D14" s="30" t="n">
        <x:v>4871</x:v>
      </x:c>
      <x:c r="E14" s="30" t="n">
        <x:v>24037</x:v>
      </x:c>
      <x:c r="F14" s="30" t="n">
        <x:v>0</x:v>
      </x:c>
      <x:c r="G14" s="11" t="str">
        <x:v>No</x:v>
      </x:c>
    </x:row>
    <x:row r="15">
      <x:c r="A15" s="11" t="str">
        <x:v>Estonia</x:v>
      </x:c>
      <x:c r="B15" s="11" t="str">
        <x:v>2020</x:v>
      </x:c>
      <x:c r="C15" s="30" t="n">
        <x:v>20264</x:v>
      </x:c>
      <x:c r="D15" s="30" t="n">
        <x:v>2292</x:v>
      </x:c>
      <x:c r="E15" s="30" t="n">
        <x:v>17972</x:v>
      </x:c>
      <x:c r="F15" s="30" t="n">
        <x:v>0</x:v>
      </x:c>
      <x:c r="G15" s="11" t="str">
        <x:v>No</x:v>
      </x:c>
    </x:row>
    <x:row r="16">
      <x:c r="A16" s="11" t="str">
        <x:v>Estonia</x:v>
      </x:c>
      <x:c r="B16" s="11" t="str">
        <x:v>2021</x:v>
      </x:c>
      <x:c r="C16" s="30" t="n">
        <x:v>30570</x:v>
      </x:c>
      <x:c r="D16" s="30" t="n">
        <x:v>3701</x:v>
      </x:c>
      <x:c r="E16" s="30" t="n">
        <x:v>26869</x:v>
      </x:c>
      <x:c r="F16" s="30" t="n">
        <x:v>0</x:v>
      </x:c>
      <x:c r="G16" s="11" t="str">
        <x:v>No</x:v>
      </x:c>
    </x:row>
    <x:row r="17">
      <x:c r="A17" s="11" t="str">
        <x:v>Estonia</x:v>
      </x:c>
      <x:c r="B17" s="11" t="str">
        <x:v>2022</x:v>
      </x:c>
      <x:c r="C17" s="30" t="n">
        <x:v>24547</x:v>
      </x:c>
      <x:c r="D17" s="30" t="n">
        <x:v>3556</x:v>
      </x:c>
      <x:c r="E17" s="30" t="n">
        <x:v>20991</x:v>
      </x:c>
      <x:c r="F17" s="30" t="n">
        <x:v>0</x:v>
      </x:c>
      <x:c r="G17" s="11" t="str">
        <x:v>No</x:v>
      </x:c>
    </x:row>
    <x:row r="18">
      <x:c r="A18" s="11" t="str">
        <x:v>Estonia</x:v>
      </x:c>
      <x:c r="B18" s="11" t="str">
        <x:v>2023</x:v>
      </x:c>
      <x:c r="C18" s="30" t="n">
        <x:v>16624</x:v>
      </x:c>
      <x:c r="D18" s="30" t="n">
        <x:v>1386</x:v>
      </x:c>
      <x:c r="E18" s="30" t="n">
        <x:v>15238</x:v>
      </x:c>
      <x:c r="F18" s="30" t="n">
        <x:v>0</x:v>
      </x:c>
      <x:c r="G18" s="11" t="str">
        <x:v>No</x:v>
      </x:c>
    </x:row>
    <x:row r="19">
      <x:c r="A19" s="11" t="str">
        <x:v>Estonia</x:v>
      </x:c>
      <x:c r="B19" s="11" t="str">
        <x:v>2024</x:v>
      </x:c>
      <x:c r="C19" s="30" t="n">
        <x:v>25521</x:v>
      </x:c>
      <x:c r="D19" s="30" t="n">
        <x:v>2350</x:v>
      </x:c>
      <x:c r="E19" s="30" t="n">
        <x:v>23171</x:v>
      </x:c>
      <x:c r="F19" s="30" t="n">
        <x:v>0</x:v>
      </x:c>
      <x:c r="G19" s="11" t="str">
        <x:v>No</x:v>
      </x:c>
    </x:row>
    <x:row r="20">
      <x:c r="A20" s="11" t="str">
        <x:v>Estonia</x:v>
      </x:c>
      <x:c r="B20" s="11" t="str">
        <x:v>2025</x:v>
      </x:c>
      <x:c r="C20" s="30" t="n">
        <x:v>29737</x:v>
      </x:c>
      <x:c r="D20" s="30" t="n">
        <x:v>1251</x:v>
      </x:c>
      <x:c r="E20" s="30" t="n">
        <x:v>13872</x:v>
      </x:c>
      <x:c r="F20" s="30" t="n">
        <x:v>14614</x:v>
      </x:c>
      <x:c r="G20" s="11" t="str">
        <x:v>No</x:v>
      </x:c>
    </x:row>
    <x:row r="21">
      <x:c r="A21" s="11" t="str">
        <x:v>Estonia</x:v>
      </x:c>
      <x:c r="B21" s="11" t="str">
        <x:v>2026</x:v>
      </x:c>
      <x:c r="C21" s="30" t="n">
        <x:v>14974</x:v>
      </x:c>
      <x:c r="D21" s="30" t="n">
        <x:v>0</x:v>
      </x:c>
      <x:c r="E21" s="30" t="n">
        <x:v>0</x:v>
      </x:c>
      <x:c r="F21" s="30" t="n">
        <x:v>14974</x:v>
      </x:c>
      <x:c r="G21" s="11" t="str">
        <x:v>No</x:v>
      </x:c>
    </x:row>
    <x:row r="22">
      <x:c r="A22" s="11" t="str">
        <x:v>Finland</x:v>
      </x:c>
      <x:c r="B22" s="11" t="str">
        <x:v>2013</x:v>
      </x:c>
      <x:c r="C22" s="30" t="n">
        <x:v>165</x:v>
      </x:c>
      <x:c r="D22" s="30" t="n">
        <x:v>36</x:v>
      </x:c>
      <x:c r="E22" s="30" t="n">
        <x:v>129</x:v>
      </x:c>
      <x:c r="F22" s="30" t="n">
        <x:v>0</x:v>
      </x:c>
      <x:c r="G22" s="11" t="str">
        <x:v>No</x:v>
      </x:c>
    </x:row>
    <x:row r="23">
      <x:c r="A23" s="11" t="str">
        <x:v>Finland</x:v>
      </x:c>
      <x:c r="B23" s="11" t="str">
        <x:v>2014</x:v>
      </x:c>
      <x:c r="C23" s="30" t="n">
        <x:v>1665</x:v>
      </x:c>
      <x:c r="D23" s="30" t="n">
        <x:v>494</x:v>
      </x:c>
      <x:c r="E23" s="30" t="n">
        <x:v>1171</x:v>
      </x:c>
      <x:c r="F23" s="30" t="n">
        <x:v>0</x:v>
      </x:c>
      <x:c r="G23" s="11" t="str">
        <x:v>No</x:v>
      </x:c>
    </x:row>
    <x:row r="24">
      <x:c r="A24" s="11" t="str">
        <x:v>Finland</x:v>
      </x:c>
      <x:c r="B24" s="11" t="str">
        <x:v>2015</x:v>
      </x:c>
      <x:c r="C24" s="30" t="n">
        <x:v>3889</x:v>
      </x:c>
      <x:c r="D24" s="30" t="n">
        <x:v>901</x:v>
      </x:c>
      <x:c r="E24" s="30" t="n">
        <x:v>2988</x:v>
      </x:c>
      <x:c r="F24" s="30" t="n">
        <x:v>0</x:v>
      </x:c>
      <x:c r="G24" s="11" t="str">
        <x:v>No</x:v>
      </x:c>
    </x:row>
    <x:row r="25">
      <x:c r="A25" s="11" t="str">
        <x:v>Finland</x:v>
      </x:c>
      <x:c r="B25" s="11" t="str">
        <x:v>2016</x:v>
      </x:c>
      <x:c r="C25" s="30" t="n">
        <x:v>1851</x:v>
      </x:c>
      <x:c r="D25" s="30" t="n">
        <x:v>679</x:v>
      </x:c>
      <x:c r="E25" s="30" t="n">
        <x:v>1172</x:v>
      </x:c>
      <x:c r="F25" s="30" t="n">
        <x:v>0</x:v>
      </x:c>
      <x:c r="G25" s="11" t="str">
        <x:v>No</x:v>
      </x:c>
    </x:row>
    <x:row r="26">
      <x:c r="A26" s="11" t="str">
        <x:v>Finland</x:v>
      </x:c>
      <x:c r="B26" s="11" t="str">
        <x:v>2017</x:v>
      </x:c>
      <x:c r="C26" s="30" t="n">
        <x:v>2655</x:v>
      </x:c>
      <x:c r="D26" s="30" t="n">
        <x:v>1367</x:v>
      </x:c>
      <x:c r="E26" s="30" t="n">
        <x:v>1288</x:v>
      </x:c>
      <x:c r="F26" s="30" t="n">
        <x:v>0</x:v>
      </x:c>
      <x:c r="G26" s="11" t="str">
        <x:v>No</x:v>
      </x:c>
    </x:row>
    <x:row r="27">
      <x:c r="A27" s="11" t="str">
        <x:v>Finland</x:v>
      </x:c>
      <x:c r="B27" s="11" t="str">
        <x:v>2018</x:v>
      </x:c>
      <x:c r="C27" s="30" t="n">
        <x:v>6566</x:v>
      </x:c>
      <x:c r="D27" s="30" t="n">
        <x:v>3263</x:v>
      </x:c>
      <x:c r="E27" s="30" t="n">
        <x:v>3303</x:v>
      </x:c>
      <x:c r="F27" s="30" t="n">
        <x:v>0</x:v>
      </x:c>
      <x:c r="G27" s="11" t="str">
        <x:v>No</x:v>
      </x:c>
    </x:row>
    <x:row r="28">
      <x:c r="A28" s="11" t="str">
        <x:v>Finland</x:v>
      </x:c>
      <x:c r="B28" s="11" t="str">
        <x:v>2019</x:v>
      </x:c>
      <x:c r="C28" s="30" t="n">
        <x:v>16557</x:v>
      </x:c>
      <x:c r="D28" s="30" t="n">
        <x:v>5996</x:v>
      </x:c>
      <x:c r="E28" s="30" t="n">
        <x:v>10561</x:v>
      </x:c>
      <x:c r="F28" s="30" t="n">
        <x:v>0</x:v>
      </x:c>
      <x:c r="G28" s="11" t="str">
        <x:v>No</x:v>
      </x:c>
    </x:row>
    <x:row r="29">
      <x:c r="A29" s="11" t="str">
        <x:v>Finland</x:v>
      </x:c>
      <x:c r="B29" s="11" t="str">
        <x:v>2020</x:v>
      </x:c>
      <x:c r="C29" s="30" t="n">
        <x:v>4567</x:v>
      </x:c>
      <x:c r="D29" s="30" t="n">
        <x:v>990</x:v>
      </x:c>
      <x:c r="E29" s="30" t="n">
        <x:v>3577</x:v>
      </x:c>
      <x:c r="F29" s="30" t="n">
        <x:v>0</x:v>
      </x:c>
      <x:c r="G29" s="11" t="str">
        <x:v>No</x:v>
      </x:c>
    </x:row>
    <x:row r="30">
      <x:c r="A30" s="11" t="str">
        <x:v>Finland</x:v>
      </x:c>
      <x:c r="B30" s="11" t="str">
        <x:v>2021</x:v>
      </x:c>
      <x:c r="C30" s="30" t="n">
        <x:v>21026</x:v>
      </x:c>
      <x:c r="D30" s="30" t="n">
        <x:v>1581</x:v>
      </x:c>
      <x:c r="E30" s="30" t="n">
        <x:v>19445</x:v>
      </x:c>
      <x:c r="F30" s="30" t="n">
        <x:v>0</x:v>
      </x:c>
      <x:c r="G30" s="11" t="str">
        <x:v>No</x:v>
      </x:c>
    </x:row>
    <x:row r="31">
      <x:c r="A31" s="11" t="str">
        <x:v>Finland</x:v>
      </x:c>
      <x:c r="B31" s="11" t="str">
        <x:v>2022</x:v>
      </x:c>
      <x:c r="C31" s="30" t="n">
        <x:v>35606</x:v>
      </x:c>
      <x:c r="D31" s="30" t="n">
        <x:v>3524</x:v>
      </x:c>
      <x:c r="E31" s="30" t="n">
        <x:v>32082</x:v>
      </x:c>
      <x:c r="F31" s="30" t="n">
        <x:v>0</x:v>
      </x:c>
      <x:c r="G31" s="11" t="str">
        <x:v>No</x:v>
      </x:c>
    </x:row>
    <x:row r="32">
      <x:c r="A32" s="11" t="str">
        <x:v>Finland</x:v>
      </x:c>
      <x:c r="B32" s="11" t="str">
        <x:v>2023</x:v>
      </x:c>
      <x:c r="C32" s="30" t="n">
        <x:v>58145</x:v>
      </x:c>
      <x:c r="D32" s="30" t="n">
        <x:v>6401</x:v>
      </x:c>
      <x:c r="E32" s="30" t="n">
        <x:v>51744</x:v>
      </x:c>
      <x:c r="F32" s="30" t="n">
        <x:v>0</x:v>
      </x:c>
      <x:c r="G32" s="11" t="str">
        <x:v>No</x:v>
      </x:c>
    </x:row>
    <x:row r="33">
      <x:c r="A33" s="11" t="str">
        <x:v>Finland</x:v>
      </x:c>
      <x:c r="B33" s="11" t="str">
        <x:v>2024</x:v>
      </x:c>
      <x:c r="C33" s="30" t="n">
        <x:v>98253</x:v>
      </x:c>
      <x:c r="D33" s="30" t="n">
        <x:v>7860</x:v>
      </x:c>
      <x:c r="E33" s="30" t="n">
        <x:v>90393</x:v>
      </x:c>
      <x:c r="F33" s="30" t="n">
        <x:v>0</x:v>
      </x:c>
      <x:c r="G33" s="11" t="str">
        <x:v>No</x:v>
      </x:c>
    </x:row>
    <x:row r="34">
      <x:c r="A34" s="11" t="str">
        <x:v>Finland</x:v>
      </x:c>
      <x:c r="B34" s="11" t="str">
        <x:v>2025</x:v>
      </x:c>
      <x:c r="C34" s="30" t="n">
        <x:v>115118</x:v>
      </x:c>
      <x:c r="D34" s="30" t="n">
        <x:v>4394</x:v>
      </x:c>
      <x:c r="E34" s="30" t="n">
        <x:v>58496</x:v>
      </x:c>
      <x:c r="F34" s="30" t="n">
        <x:v>52228</x:v>
      </x:c>
      <x:c r="G34" s="11" t="str">
        <x:v>No</x:v>
      </x:c>
    </x:row>
    <x:row r="35">
      <x:c r="A35" s="11" t="str">
        <x:v>Finland</x:v>
      </x:c>
      <x:c r="B35" s="11" t="str">
        <x:v>2026</x:v>
      </x:c>
      <x:c r="C35" s="30" t="n">
        <x:v>61070</x:v>
      </x:c>
      <x:c r="D35" s="30" t="n">
        <x:v>0</x:v>
      </x:c>
      <x:c r="E35" s="30" t="n">
        <x:v>0</x:v>
      </x:c>
      <x:c r="F35" s="30" t="n">
        <x:v>61070</x:v>
      </x:c>
      <x:c r="G35" s="11" t="str">
        <x:v>No</x:v>
      </x:c>
    </x:row>
    <x:row r="36">
      <x:c r="A36" s="11" t="str">
        <x:v>Latvia</x:v>
      </x:c>
      <x:c r="B36" s="11" t="str">
        <x:v>2023</x:v>
      </x:c>
      <x:c r="C36" s="30"/>
      <x:c r="D36" s="30"/>
      <x:c r="E36" s="30"/>
      <x:c r="F36" s="30"/>
      <x:c r="G36" s="11" t="str">
        <x:v>Yes</x:v>
      </x:c>
    </x:row>
    <x:row r="37">
      <x:c r="A37" s="11" t="str">
        <x:v>Latvia</x:v>
      </x:c>
      <x:c r="B37" s="11" t="str">
        <x:v>2024</x:v>
      </x:c>
      <x:c r="C37" s="30" t="n">
        <x:v>3032</x:v>
      </x:c>
      <x:c r="D37" s="30" t="n">
        <x:v>921</x:v>
      </x:c>
      <x:c r="E37" s="30" t="n">
        <x:v>2111</x:v>
      </x:c>
      <x:c r="F37" s="30" t="n">
        <x:v>0</x:v>
      </x:c>
      <x:c r="G37" s="11" t="str">
        <x:v>No</x:v>
      </x:c>
    </x:row>
    <x:row r="38">
      <x:c r="A38" s="11" t="str">
        <x:v>Latvia</x:v>
      </x:c>
      <x:c r="B38" s="11" t="str">
        <x:v>2025</x:v>
      </x:c>
      <x:c r="C38" s="30" t="n">
        <x:v>5330</x:v>
      </x:c>
      <x:c r="D38" s="30" t="n">
        <x:v>775</x:v>
      </x:c>
      <x:c r="E38" s="30" t="n">
        <x:v>1974</x:v>
      </x:c>
      <x:c r="F38" s="30" t="n">
        <x:v>2581</x:v>
      </x:c>
      <x:c r="G38" s="11" t="str">
        <x:v>No</x:v>
      </x:c>
    </x:row>
    <x:row r="39">
      <x:c r="A39" s="11" t="str">
        <x:v>Latvia</x:v>
      </x:c>
      <x:c r="B39" s="11" t="str">
        <x:v>2026</x:v>
      </x:c>
      <x:c r="C39" s="30" t="n">
        <x:v>3194</x:v>
      </x:c>
      <x:c r="D39" s="30" t="n">
        <x:v>0</x:v>
      </x:c>
      <x:c r="E39" s="30" t="n">
        <x:v>0</x:v>
      </x:c>
      <x:c r="F39" s="30" t="n">
        <x:v>3194</x:v>
      </x:c>
      <x:c r="G39" s="11" t="str">
        <x:v>No</x:v>
      </x:c>
    </x:row>
    <x:row r="40">
      <x:c r="A40" s="11" t="str">
        <x:v>Lithuania</x:v>
      </x:c>
      <x:c r="B40" s="11" t="str">
        <x:v>2025</x:v>
      </x:c>
      <x:c r="C40" s="30"/>
      <x:c r="D40" s="30"/>
      <x:c r="E40" s="30"/>
      <x:c r="F40" s="30"/>
      <x:c r="G40" s="11" t="str">
        <x:v>Yes</x:v>
      </x:c>
    </x:row>
    <x:row r="41">
      <x:c r="A41" s="11" t="str">
        <x:v>Lithuania</x:v>
      </x:c>
      <x:c r="B41" s="11" t="str">
        <x:v>2026</x:v>
      </x:c>
      <x:c r="C41" s="30"/>
      <x:c r="D41" s="30"/>
      <x:c r="E41" s="30"/>
      <x:c r="F41" s="30"/>
      <x:c r="G41" s="11" t="str">
        <x:v>Yes</x:v>
      </x:c>
    </x:row>
    <x:row r="42">
      <x:c r="A42" s="11" t="str">
        <x:v>Netherlands</x:v>
      </x:c>
      <x:c r="B42" s="11" t="str">
        <x:v>2022</x:v>
      </x:c>
      <x:c r="C42" s="30" t="n">
        <x:v>245</x:v>
      </x:c>
      <x:c r="D42" s="30" t="n">
        <x:v>73</x:v>
      </x:c>
      <x:c r="E42" s="30" t="n">
        <x:v>172</x:v>
      </x:c>
      <x:c r="F42" s="30" t="n">
        <x:v>0</x:v>
      </x:c>
      <x:c r="G42" s="11" t="str">
        <x:v>No</x:v>
      </x:c>
    </x:row>
    <x:row r="43">
      <x:c r="A43" s="11" t="str">
        <x:v>Netherlands</x:v>
      </x:c>
      <x:c r="B43" s="11" t="str">
        <x:v>2023</x:v>
      </x:c>
      <x:c r="C43" s="30" t="n">
        <x:v>5208</x:v>
      </x:c>
      <x:c r="D43" s="30" t="n">
        <x:v>404</x:v>
      </x:c>
      <x:c r="E43" s="30" t="n">
        <x:v>4804</x:v>
      </x:c>
      <x:c r="F43" s="30" t="n">
        <x:v>0</x:v>
      </x:c>
      <x:c r="G43" s="11" t="str">
        <x:v>No</x:v>
      </x:c>
    </x:row>
    <x:row r="44">
      <x:c r="A44" s="11" t="str">
        <x:v>Netherlands</x:v>
      </x:c>
      <x:c r="B44" s="11" t="str">
        <x:v>2024</x:v>
      </x:c>
      <x:c r="C44" s="30" t="n">
        <x:v>20449</x:v>
      </x:c>
      <x:c r="D44" s="30" t="n">
        <x:v>965</x:v>
      </x:c>
      <x:c r="E44" s="30" t="n">
        <x:v>19484</x:v>
      </x:c>
      <x:c r="F44" s="30" t="n">
        <x:v>0</x:v>
      </x:c>
      <x:c r="G44" s="11" t="str">
        <x:v>No</x:v>
      </x:c>
    </x:row>
    <x:row r="45">
      <x:c r="A45" s="11" t="str">
        <x:v>Netherlands</x:v>
      </x:c>
      <x:c r="B45" s="11" t="str">
        <x:v>2025</x:v>
      </x:c>
      <x:c r="C45" s="30" t="n">
        <x:v>28405</x:v>
      </x:c>
      <x:c r="D45" s="30" t="n">
        <x:v>652</x:v>
      </x:c>
      <x:c r="E45" s="30" t="n">
        <x:v>13630</x:v>
      </x:c>
      <x:c r="F45" s="30" t="n">
        <x:v>14123</x:v>
      </x:c>
      <x:c r="G45" s="11" t="str">
        <x:v>No</x:v>
      </x:c>
    </x:row>
    <x:row r="46">
      <x:c r="A46" s="11" t="str">
        <x:v>Netherlands</x:v>
      </x:c>
      <x:c r="B46" s="11" t="str">
        <x:v>2026</x:v>
      </x:c>
      <x:c r="C46" s="30" t="n">
        <x:v>11698</x:v>
      </x:c>
      <x:c r="D46" s="30" t="n">
        <x:v>0</x:v>
      </x:c>
      <x:c r="E46" s="30" t="n">
        <x:v>0</x:v>
      </x:c>
      <x:c r="F46" s="30" t="n">
        <x:v>11698</x:v>
      </x:c>
      <x:c r="G46" s="11" t="str">
        <x:v>No</x:v>
      </x:c>
    </x:row>
    <x:row r="47">
      <x:c r="A47" s="11" t="str">
        <x:v>Slovakia</x:v>
      </x:c>
      <x:c r="B47" s="11" t="str">
        <x:v>2014</x:v>
      </x:c>
      <x:c r="C47" s="30" t="n">
        <x:v>342</x:v>
      </x:c>
      <x:c r="D47" s="30" t="n">
        <x:v>207</x:v>
      </x:c>
      <x:c r="E47" s="30" t="n">
        <x:v>135</x:v>
      </x:c>
      <x:c r="F47" s="30" t="n">
        <x:v>0</x:v>
      </x:c>
      <x:c r="G47" s="11" t="str">
        <x:v>No</x:v>
      </x:c>
    </x:row>
    <x:row r="48">
      <x:c r="A48" s="11" t="str">
        <x:v>Slovakia</x:v>
      </x:c>
      <x:c r="B48" s="11" t="str">
        <x:v>2015</x:v>
      </x:c>
      <x:c r="C48" s="30"/>
      <x:c r="D48" s="30"/>
      <x:c r="E48" s="30"/>
      <x:c r="F48" s="30"/>
      <x:c r="G48" s="11" t="str">
        <x:v>Yes</x:v>
      </x:c>
    </x:row>
    <x:row r="49">
      <x:c r="A49" s="11" t="str">
        <x:v>Spain</x:v>
      </x:c>
      <x:c r="B49" s="11" t="str">
        <x:v>2013</x:v>
      </x:c>
      <x:c r="C49" s="30" t="n">
        <x:v>61</x:v>
      </x:c>
      <x:c r="D49" s="30" t="n">
        <x:v>26</x:v>
      </x:c>
      <x:c r="E49" s="30" t="n">
        <x:v>35</x:v>
      </x:c>
      <x:c r="F49" s="30" t="n">
        <x:v>0</x:v>
      </x:c>
      <x:c r="G49" s="11" t="str">
        <x:v>No</x:v>
      </x:c>
    </x:row>
    <x:row r="50">
      <x:c r="A50" s="11" t="str">
        <x:v>Spain</x:v>
      </x:c>
      <x:c r="B50" s="11" t="str">
        <x:v>2014</x:v>
      </x:c>
      <x:c r="C50" s="30" t="n">
        <x:v>2105</x:v>
      </x:c>
      <x:c r="D50" s="30" t="n">
        <x:v>894</x:v>
      </x:c>
      <x:c r="E50" s="30" t="n">
        <x:v>1211</x:v>
      </x:c>
      <x:c r="F50" s="30" t="n">
        <x:v>0</x:v>
      </x:c>
      <x:c r="G50" s="11" t="str">
        <x:v>No</x:v>
      </x:c>
    </x:row>
    <x:row r="51">
      <x:c r="A51" s="11" t="str">
        <x:v>Spain</x:v>
      </x:c>
      <x:c r="B51" s="11" t="str">
        <x:v>2015</x:v>
      </x:c>
      <x:c r="C51" s="30" t="n">
        <x:v>4559</x:v>
      </x:c>
      <x:c r="D51" s="30" t="n">
        <x:v>1214</x:v>
      </x:c>
      <x:c r="E51" s="30" t="n">
        <x:v>3345</x:v>
      </x:c>
      <x:c r="F51" s="30" t="n">
        <x:v>0</x:v>
      </x:c>
      <x:c r="G51" s="11" t="str">
        <x:v>No</x:v>
      </x:c>
    </x:row>
    <x:row r="52">
      <x:c r="A52" s="11" t="str">
        <x:v>Spain</x:v>
      </x:c>
      <x:c r="B52" s="11" t="str">
        <x:v>2016</x:v>
      </x:c>
      <x:c r="C52" s="30" t="n">
        <x:v>2658</x:v>
      </x:c>
      <x:c r="D52" s="30" t="n">
        <x:v>1685</x:v>
      </x:c>
      <x:c r="E52" s="30" t="n">
        <x:v>973</x:v>
      </x:c>
      <x:c r="F52" s="30" t="n">
        <x:v>0</x:v>
      </x:c>
      <x:c r="G52" s="11" t="str">
        <x:v>No</x:v>
      </x:c>
    </x:row>
    <x:row r="53">
      <x:c r="A53" s="11" t="str">
        <x:v>Spain</x:v>
      </x:c>
      <x:c r="B53" s="11" t="str">
        <x:v>2017</x:v>
      </x:c>
      <x:c r="C53" s="30" t="n">
        <x:v>4193</x:v>
      </x:c>
      <x:c r="D53" s="30" t="n">
        <x:v>2743</x:v>
      </x:c>
      <x:c r="E53" s="30" t="n">
        <x:v>1450</x:v>
      </x:c>
      <x:c r="F53" s="30" t="n">
        <x:v>0</x:v>
      </x:c>
      <x:c r="G53" s="11" t="str">
        <x:v>No</x:v>
      </x:c>
    </x:row>
    <x:row r="54">
      <x:c r="A54" s="11" t="str">
        <x:v>Spain</x:v>
      </x:c>
      <x:c r="B54" s="11" t="str">
        <x:v>2018</x:v>
      </x:c>
      <x:c r="C54" s="30" t="n">
        <x:v>1641</x:v>
      </x:c>
      <x:c r="D54" s="30" t="n">
        <x:v>678</x:v>
      </x:c>
      <x:c r="E54" s="30" t="n">
        <x:v>963</x:v>
      </x:c>
      <x:c r="F54" s="30" t="n">
        <x:v>0</x:v>
      </x:c>
      <x:c r="G54" s="11" t="str">
        <x:v>No</x:v>
      </x:c>
    </x:row>
    <x:row r="55">
      <x:c r="A55" s="11" t="str">
        <x:v>Spain</x:v>
      </x:c>
      <x:c r="B55" s="11" t="str">
        <x:v>2019</x:v>
      </x:c>
      <x:c r="C55" s="30" t="n">
        <x:v>11041</x:v>
      </x:c>
      <x:c r="D55" s="30" t="n">
        <x:v>5831</x:v>
      </x:c>
      <x:c r="E55" s="30" t="n">
        <x:v>5210</x:v>
      </x:c>
      <x:c r="F55" s="30" t="n">
        <x:v>0</x:v>
      </x:c>
      <x:c r="G55" s="11" t="str">
        <x:v>No</x:v>
      </x:c>
    </x:row>
    <x:row r="56">
      <x:c r="A56" s="11" t="str">
        <x:v>Spain</x:v>
      </x:c>
      <x:c r="B56" s="11" t="str">
        <x:v>2020</x:v>
      </x:c>
      <x:c r="C56" s="30" t="n">
        <x:v>3043</x:v>
      </x:c>
      <x:c r="D56" s="30" t="n">
        <x:v>1534</x:v>
      </x:c>
      <x:c r="E56" s="30" t="n">
        <x:v>1509</x:v>
      </x:c>
      <x:c r="F56" s="30" t="n">
        <x:v>0</x:v>
      </x:c>
      <x:c r="G56" s="11" t="str">
        <x:v>No</x:v>
      </x:c>
    </x:row>
    <x:row r="57">
      <x:c r="A57" s="11" t="str">
        <x:v>Spain</x:v>
      </x:c>
      <x:c r="B57" s="11" t="str">
        <x:v>2021</x:v>
      </x:c>
      <x:c r="C57" s="30" t="n">
        <x:v>146</x:v>
      </x:c>
      <x:c r="D57" s="30" t="n">
        <x:v>45</x:v>
      </x:c>
      <x:c r="E57" s="30" t="n">
        <x:v>101</x:v>
      </x:c>
      <x:c r="F57" s="30" t="n">
        <x:v>0</x:v>
      </x:c>
      <x:c r="G57" s="11" t="str">
        <x:v>No</x:v>
      </x:c>
    </x:row>
    <x:row r="58">
      <x:c r="A58" s="11" t="str">
        <x:v>Spain</x:v>
      </x:c>
      <x:c r="B58" s="11" t="str">
        <x:v>2022</x:v>
      </x:c>
      <x:c r="C58" s="30" t="n">
        <x:v>3196</x:v>
      </x:c>
      <x:c r="D58" s="30" t="n">
        <x:v>1349</x:v>
      </x:c>
      <x:c r="E58" s="30" t="n">
        <x:v>1847</x:v>
      </x:c>
      <x:c r="F58" s="30" t="n">
        <x:v>0</x:v>
      </x:c>
      <x:c r="G58" s="11" t="str">
        <x:v>No</x:v>
      </x:c>
    </x:row>
    <x:row r="59">
      <x:c r="A59" s="11" t="str">
        <x:v>Spain</x:v>
      </x:c>
      <x:c r="B59" s="11" t="str">
        <x:v>2023</x:v>
      </x:c>
      <x:c r="C59" s="30" t="n">
        <x:v>1578</x:v>
      </x:c>
      <x:c r="D59" s="30" t="n">
        <x:v>672</x:v>
      </x:c>
      <x:c r="E59" s="30" t="n">
        <x:v>906</x:v>
      </x:c>
      <x:c r="F59" s="30" t="n">
        <x:v>0</x:v>
      </x:c>
      <x:c r="G59" s="11" t="str">
        <x:v>No</x:v>
      </x:c>
    </x:row>
  </x:sheetData>
  <x:pageMargins left="0.7" right="0.7" top="0.75" bottom="0.75" header="0.3" footer="0.3"/>
  <x:tableParts count="1">
    <x:tablePart xmlns:r="http://schemas.openxmlformats.org/officeDocument/2006/relationships" r:id="R9c0ddbb9b19048fa"/>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3" hidden="0" customWidth="1"/>
    <x:col min="3" max="3" width="36" hidden="0" customWidth="1"/>
    <x:col min="4" max="4" width="16" hidden="0" customWidth="1"/>
    <x:col min="5" max="5" width="16" hidden="0" customWidth="1"/>
    <x:col min="6" max="6" width="16" hidden="0" customWidth="1"/>
    <x:col min="7" max="7" width="16" hidden="0" customWidth="1"/>
    <x:col min="8" max="8" width="18" hidden="0" customWidth="1"/>
  </x:cols>
  <x:sheetData>
    <x:row r="1" ht="40" customHeight="1">
      <x:c r="A1" s="28" t="str">
        <x:v>Support grain</x:v>
      </x:c>
      <x:c r="B1" s="28" t="str">
        <x:v>Country / year</x:v>
      </x:c>
      <x:c r="C1" s="28" t="str">
        <x:v>File-date maturity proxy</x:v>
      </x:c>
      <x:c r="D1" s="28" t="str">
        <x:v>Loans</x:v>
      </x:c>
      <x:c r="E1" s="28" t="str">
        <x:v>Label true</x:v>
      </x:c>
      <x:c r="F1" s="28" t="str">
        <x:v>Label false</x:v>
      </x:c>
      <x:c r="G1" s="28" t="str">
        <x:v>Label NULL</x:v>
      </x:c>
      <x:c r="H1" s="28" t="str">
        <x:v>Suppression</x:v>
      </x:c>
    </x:row>
    <x:row r="2">
      <x:c r="A2" s="11" t="str">
        <x:v>Year</x:v>
      </x:c>
      <x:c r="B2" s="11" t="str">
        <x:v>2009</x:v>
      </x:c>
      <x:c r="C2" s="11" t="str">
        <x:v>mature_by_file_date_proxy</x:v>
      </x:c>
      <x:c r="D2" s="30" t="n">
        <x:v>667</x:v>
      </x:c>
      <x:c r="E2" s="30" t="n">
        <x:v>225</x:v>
      </x:c>
      <x:c r="F2" s="30" t="n">
        <x:v>442</x:v>
      </x:c>
      <x:c r="G2" s="30" t="n">
        <x:v>0</x:v>
      </x:c>
      <x:c r="H2" s="11" t="str"/>
    </x:row>
    <x:row r="3">
      <x:c r="A3" s="11" t="str">
        <x:v>Year</x:v>
      </x:c>
      <x:c r="B3" s="11" t="str">
        <x:v>2010</x:v>
      </x:c>
      <x:c r="C3" s="11" t="str">
        <x:v>mature_by_file_date_proxy</x:v>
      </x:c>
      <x:c r="D3" s="30" t="n">
        <x:v>1163</x:v>
      </x:c>
      <x:c r="E3" s="30" t="n">
        <x:v>311</x:v>
      </x:c>
      <x:c r="F3" s="30" t="n">
        <x:v>852</x:v>
      </x:c>
      <x:c r="G3" s="30" t="n">
        <x:v>0</x:v>
      </x:c>
      <x:c r="H3" s="11" t="str"/>
    </x:row>
    <x:row r="4">
      <x:c r="A4" s="11" t="str">
        <x:v>Year</x:v>
      </x:c>
      <x:c r="B4" s="11" t="str">
        <x:v>2011</x:v>
      </x:c>
      <x:c r="C4" s="11" t="str">
        <x:v>mature_by_file_date_proxy</x:v>
      </x:c>
      <x:c r="D4" s="30" t="n">
        <x:v>451</x:v>
      </x:c>
      <x:c r="E4" s="30" t="n">
        <x:v>68</x:v>
      </x:c>
      <x:c r="F4" s="30" t="n">
        <x:v>383</x:v>
      </x:c>
      <x:c r="G4" s="30" t="n">
        <x:v>0</x:v>
      </x:c>
      <x:c r="H4" s="11" t="str"/>
    </x:row>
    <x:row r="5">
      <x:c r="A5" s="11" t="str">
        <x:v>Year</x:v>
      </x:c>
      <x:c r="B5" s="11" t="str">
        <x:v>2012</x:v>
      </x:c>
      <x:c r="C5" s="11" t="str">
        <x:v>mature_by_file_date_proxy</x:v>
      </x:c>
      <x:c r="D5" s="30" t="n">
        <x:v>457</x:v>
      </x:c>
      <x:c r="E5" s="30" t="n">
        <x:v>42</x:v>
      </x:c>
      <x:c r="F5" s="30" t="n">
        <x:v>415</x:v>
      </x:c>
      <x:c r="G5" s="30" t="n">
        <x:v>0</x:v>
      </x:c>
      <x:c r="H5" s="11" t="str"/>
    </x:row>
    <x:row r="6">
      <x:c r="A6" s="11" t="str">
        <x:v>Year</x:v>
      </x:c>
      <x:c r="B6" s="11" t="str">
        <x:v>2013</x:v>
      </x:c>
      <x:c r="C6" s="11" t="str">
        <x:v>mature_by_file_date_proxy</x:v>
      </x:c>
      <x:c r="D6" s="30" t="n">
        <x:v>2519</x:v>
      </x:c>
      <x:c r="E6" s="30" t="n">
        <x:v>336</x:v>
      </x:c>
      <x:c r="F6" s="30" t="n">
        <x:v>2183</x:v>
      </x:c>
      <x:c r="G6" s="30" t="n">
        <x:v>0</x:v>
      </x:c>
      <x:c r="H6" s="11" t="str"/>
    </x:row>
    <x:row r="7">
      <x:c r="A7" s="11" t="str">
        <x:v>Year</x:v>
      </x:c>
      <x:c r="B7" s="11" t="str">
        <x:v>2014</x:v>
      </x:c>
      <x:c r="C7" s="11" t="str">
        <x:v>mature_by_file_date_proxy</x:v>
      </x:c>
      <x:c r="D7" s="30" t="n">
        <x:v>8713</x:v>
      </x:c>
      <x:c r="E7" s="30" t="n">
        <x:v>2168</x:v>
      </x:c>
      <x:c r="F7" s="30" t="n">
        <x:v>6545</x:v>
      </x:c>
      <x:c r="G7" s="30" t="n">
        <x:v>0</x:v>
      </x:c>
      <x:c r="H7" s="11" t="str"/>
    </x:row>
    <x:row r="8">
      <x:c r="A8" s="11" t="str">
        <x:v>Year</x:v>
      </x:c>
      <x:c r="B8" s="11" t="str">
        <x:v>2015</x:v>
      </x:c>
      <x:c r="C8" s="11" t="str">
        <x:v>mature_by_file_date_proxy</x:v>
      </x:c>
      <x:c r="D8" s="30" t="n">
        <x:v>14338</x:v>
      </x:c>
      <x:c r="E8" s="30" t="n">
        <x:v>2620</x:v>
      </x:c>
      <x:c r="F8" s="30" t="n">
        <x:v>11718</x:v>
      </x:c>
      <x:c r="G8" s="30" t="n">
        <x:v>0</x:v>
      </x:c>
      <x:c r="H8" s="11" t="str"/>
    </x:row>
    <x:row r="9">
      <x:c r="A9" s="11" t="str">
        <x:v>Year</x:v>
      </x:c>
      <x:c r="B9" s="11" t="str">
        <x:v>2016</x:v>
      </x:c>
      <x:c r="C9" s="11" t="str">
        <x:v>mature_by_file_date_proxy</x:v>
      </x:c>
      <x:c r="D9" s="30" t="n">
        <x:v>10539</x:v>
      </x:c>
      <x:c r="E9" s="30" t="n">
        <x:v>3669</x:v>
      </x:c>
      <x:c r="F9" s="30" t="n">
        <x:v>6870</x:v>
      </x:c>
      <x:c r="G9" s="30" t="n">
        <x:v>0</x:v>
      </x:c>
      <x:c r="H9" s="11" t="str"/>
    </x:row>
    <x:row r="10">
      <x:c r="A10" s="11" t="str">
        <x:v>Year</x:v>
      </x:c>
      <x:c r="B10" s="11" t="str">
        <x:v>2017</x:v>
      </x:c>
      <x:c r="C10" s="11" t="str">
        <x:v>mature_by_file_date_proxy</x:v>
      </x:c>
      <x:c r="D10" s="30" t="n">
        <x:v>17990</x:v>
      </x:c>
      <x:c r="E10" s="30" t="n">
        <x:v>6572</x:v>
      </x:c>
      <x:c r="F10" s="30" t="n">
        <x:v>11418</x:v>
      </x:c>
      <x:c r="G10" s="30" t="n">
        <x:v>0</x:v>
      </x:c>
      <x:c r="H10" s="11" t="str"/>
    </x:row>
    <x:row r="11">
      <x:c r="A11" s="11" t="str">
        <x:v>Year</x:v>
      </x:c>
      <x:c r="B11" s="11" t="str">
        <x:v>2018</x:v>
      </x:c>
      <x:c r="C11" s="11" t="str">
        <x:v>mature_by_file_date_proxy</x:v>
      </x:c>
      <x:c r="D11" s="30" t="n">
        <x:v>25359</x:v>
      </x:c>
      <x:c r="E11" s="30" t="n">
        <x:v>6806</x:v>
      </x:c>
      <x:c r="F11" s="30" t="n">
        <x:v>18553</x:v>
      </x:c>
      <x:c r="G11" s="30" t="n">
        <x:v>0</x:v>
      </x:c>
      <x:c r="H11" s="11" t="str"/>
    </x:row>
    <x:row r="12">
      <x:c r="A12" s="11" t="str">
        <x:v>Year</x:v>
      </x:c>
      <x:c r="B12" s="11" t="str">
        <x:v>2019</x:v>
      </x:c>
      <x:c r="C12" s="11" t="str">
        <x:v>mature_by_file_date_proxy</x:v>
      </x:c>
      <x:c r="D12" s="30" t="n">
        <x:v>56506</x:v>
      </x:c>
      <x:c r="E12" s="30" t="n">
        <x:v>16698</x:v>
      </x:c>
      <x:c r="F12" s="30" t="n">
        <x:v>39808</x:v>
      </x:c>
      <x:c r="G12" s="30" t="n">
        <x:v>0</x:v>
      </x:c>
      <x:c r="H12" s="11" t="str"/>
    </x:row>
    <x:row r="13">
      <x:c r="A13" s="11" t="str">
        <x:v>Year</x:v>
      </x:c>
      <x:c r="B13" s="11" t="str">
        <x:v>2020</x:v>
      </x:c>
      <x:c r="C13" s="11" t="str">
        <x:v>mature_by_file_date_proxy</x:v>
      </x:c>
      <x:c r="D13" s="30" t="n">
        <x:v>27874</x:v>
      </x:c>
      <x:c r="E13" s="30" t="n">
        <x:v>4816</x:v>
      </x:c>
      <x:c r="F13" s="30" t="n">
        <x:v>23058</x:v>
      </x:c>
      <x:c r="G13" s="30" t="n">
        <x:v>0</x:v>
      </x:c>
      <x:c r="H13" s="11" t="str"/>
    </x:row>
    <x:row r="14">
      <x:c r="A14" s="11" t="str">
        <x:v>Year</x:v>
      </x:c>
      <x:c r="B14" s="11" t="str">
        <x:v>2021</x:v>
      </x:c>
      <x:c r="C14" s="11" t="str">
        <x:v>mature_by_file_date_proxy</x:v>
      </x:c>
      <x:c r="D14" s="30" t="n">
        <x:v>51742</x:v>
      </x:c>
      <x:c r="E14" s="30" t="n">
        <x:v>5327</x:v>
      </x:c>
      <x:c r="F14" s="30" t="n">
        <x:v>46415</x:v>
      </x:c>
      <x:c r="G14" s="30" t="n">
        <x:v>0</x:v>
      </x:c>
      <x:c r="H14" s="11" t="str"/>
    </x:row>
    <x:row r="15">
      <x:c r="A15" s="11" t="str">
        <x:v>Year</x:v>
      </x:c>
      <x:c r="B15" s="11" t="str">
        <x:v>2022</x:v>
      </x:c>
      <x:c r="C15" s="11" t="str">
        <x:v>mature_by_file_date_proxy</x:v>
      </x:c>
      <x:c r="D15" s="30" t="n">
        <x:v>63594</x:v>
      </x:c>
      <x:c r="E15" s="30" t="n">
        <x:v>8502</x:v>
      </x:c>
      <x:c r="F15" s="30" t="n">
        <x:v>55092</x:v>
      </x:c>
      <x:c r="G15" s="30" t="n">
        <x:v>0</x:v>
      </x:c>
      <x:c r="H15" s="11" t="str"/>
    </x:row>
    <x:row r="16">
      <x:c r="A16" s="11" t="str">
        <x:v>Year</x:v>
      </x:c>
      <x:c r="B16" s="11" t="str">
        <x:v>2023</x:v>
      </x:c>
      <x:c r="C16" s="11" t="str">
        <x:v>mature_by_file_date_proxy</x:v>
      </x:c>
      <x:c r="D16" s="30" t="n">
        <x:v>81556</x:v>
      </x:c>
      <x:c r="E16" s="30" t="n">
        <x:v>8863</x:v>
      </x:c>
      <x:c r="F16" s="30" t="n">
        <x:v>72693</x:v>
      </x:c>
      <x:c r="G16" s="30" t="n">
        <x:v>0</x:v>
      </x:c>
      <x:c r="H16" s="11" t="str"/>
    </x:row>
    <x:row r="17">
      <x:c r="A17" s="11" t="str">
        <x:v>Year</x:v>
      </x:c>
      <x:c r="B17" s="11" t="str">
        <x:v>2024</x:v>
      </x:c>
      <x:c r="C17" s="11" t="str">
        <x:v>mature_by_file_date_proxy</x:v>
      </x:c>
      <x:c r="D17" s="30" t="n">
        <x:v>147255</x:v>
      </x:c>
      <x:c r="E17" s="30" t="n">
        <x:v>12096</x:v>
      </x:c>
      <x:c r="F17" s="30" t="n">
        <x:v>135159</x:v>
      </x:c>
      <x:c r="G17" s="30" t="n">
        <x:v>0</x:v>
      </x:c>
      <x:c r="H17" s="11" t="str"/>
    </x:row>
    <x:row r="18">
      <x:c r="A18" s="11" t="str">
        <x:v>Year</x:v>
      </x:c>
      <x:c r="B18" s="11" t="str">
        <x:v>2025</x:v>
      </x:c>
      <x:c r="C18" s="11" t="str">
        <x:v>mature_by_file_date_proxy</x:v>
      </x:c>
      <x:c r="D18" s="30" t="n">
        <x:v>107001</x:v>
      </x:c>
      <x:c r="E18" s="30" t="n">
        <x:v>7499</x:v>
      </x:c>
      <x:c r="F18" s="30" t="n">
        <x:v>88642</x:v>
      </x:c>
      <x:c r="G18" s="30" t="n">
        <x:v>10860</x:v>
      </x:c>
      <x:c r="H18" s="11" t="str"/>
    </x:row>
    <x:row r="19">
      <x:c r="A19" s="11" t="str">
        <x:v>Year</x:v>
      </x:c>
      <x:c r="B19" s="11" t="str">
        <x:v>2025</x:v>
      </x:c>
      <x:c r="C19" s="11" t="str">
        <x:v>not_mature_by_proxy</x:v>
      </x:c>
      <x:c r="D19" s="30" t="n">
        <x:v>75055</x:v>
      </x:c>
      <x:c r="E19" s="30" t="n">
        <x:v>0</x:v>
      </x:c>
      <x:c r="F19" s="30" t="n">
        <x:v>0</x:v>
      </x:c>
      <x:c r="G19" s="30" t="n">
        <x:v>75055</x:v>
      </x:c>
      <x:c r="H19" s="11" t="str"/>
    </x:row>
    <x:row r="20">
      <x:c r="A20" s="11" t="str">
        <x:v>Year</x:v>
      </x:c>
      <x:c r="B20" s="11" t="str">
        <x:v>2026</x:v>
      </x:c>
      <x:c r="C20" s="11" t="str">
        <x:v>not_mature_by_proxy</x:v>
      </x:c>
      <x:c r="D20" s="30" t="n">
        <x:v>96365</x:v>
      </x:c>
      <x:c r="E20" s="30" t="n">
        <x:v>0</x:v>
      </x:c>
      <x:c r="F20" s="30" t="n">
        <x:v>0</x:v>
      </x:c>
      <x:c r="G20" s="30" t="n">
        <x:v>96365</x:v>
      </x:c>
      <x:c r="H20" s="11" t="str"/>
    </x:row>
    <x:row r="21">
      <x:c r="A21" s="11" t="str">
        <x:v>Country</x:v>
      </x:c>
      <x:c r="B21" s="11" t="str">
        <x:v>Denmark</x:v>
      </x:c>
      <x:c r="C21" s="11" t="str">
        <x:v>mature_by_file_date_proxy</x:v>
      </x:c>
      <x:c r="D21" s="30" t="n">
        <x:v>1310</x:v>
      </x:c>
      <x:c r="E21" s="30" t="n">
        <x:v>427</x:v>
      </x:c>
      <x:c r="F21" s="30" t="n">
        <x:v>669</x:v>
      </x:c>
      <x:c r="G21" s="30" t="n">
        <x:v>214</x:v>
      </x:c>
      <x:c r="H21" s="11" t="str">
        <x:v>No</x:v>
      </x:c>
    </x:row>
    <x:row r="22">
      <x:c r="A22" s="11" t="str">
        <x:v>Country</x:v>
      </x:c>
      <x:c r="B22" s="11" t="str">
        <x:v>Denmark</x:v>
      </x:c>
      <x:c r="C22" s="11" t="str">
        <x:v>not_mature_by_proxy</x:v>
      </x:c>
      <x:c r="D22" s="30" t="n">
        <x:v>7578</x:v>
      </x:c>
      <x:c r="E22" s="30" t="n">
        <x:v>0</x:v>
      </x:c>
      <x:c r="F22" s="30" t="n">
        <x:v>0</x:v>
      </x:c>
      <x:c r="G22" s="30" t="n">
        <x:v>7578</x:v>
      </x:c>
      <x:c r="H22" s="11" t="str">
        <x:v>No</x:v>
      </x:c>
    </x:row>
    <x:row r="23">
      <x:c r="A23" s="11" t="str">
        <x:v>Country</x:v>
      </x:c>
      <x:c r="B23" s="11" t="str">
        <x:v>Estonia</x:v>
      </x:c>
      <x:c r="C23" s="11" t="str">
        <x:v>mature_by_file_date_proxy</x:v>
      </x:c>
      <x:c r="D23" s="30" t="n">
        <x:v>213301</x:v>
      </x:c>
      <x:c r="E23" s="30" t="n">
        <x:v>28035</x:v>
      </x:c>
      <x:c r="F23" s="30" t="n">
        <x:v>183364</x:v>
      </x:c>
      <x:c r="G23" s="30" t="n">
        <x:v>1902</x:v>
      </x:c>
      <x:c r="H23" s="11" t="str">
        <x:v>No</x:v>
      </x:c>
    </x:row>
    <x:row r="24">
      <x:c r="A24" s="11" t="str">
        <x:v>Country</x:v>
      </x:c>
      <x:c r="B24" s="11" t="str">
        <x:v>Estonia</x:v>
      </x:c>
      <x:c r="C24" s="11" t="str">
        <x:v>not_mature_by_proxy</x:v>
      </x:c>
      <x:c r="D24" s="30" t="n">
        <x:v>27686</x:v>
      </x:c>
      <x:c r="E24" s="30" t="n">
        <x:v>0</x:v>
      </x:c>
      <x:c r="F24" s="30" t="n">
        <x:v>0</x:v>
      </x:c>
      <x:c r="G24" s="30" t="n">
        <x:v>27686</x:v>
      </x:c>
      <x:c r="H24" s="11" t="str">
        <x:v>No</x:v>
      </x:c>
    </x:row>
    <x:row r="25">
      <x:c r="A25" s="11" t="str">
        <x:v>Country</x:v>
      </x:c>
      <x:c r="B25" s="11" t="str">
        <x:v>Finland</x:v>
      </x:c>
      <x:c r="C25" s="11" t="str">
        <x:v>mature_by_file_date_proxy</x:v>
      </x:c>
      <x:c r="D25" s="30" t="n">
        <x:v>320194</x:v>
      </x:c>
      <x:c r="E25" s="30" t="n">
        <x:v>37486</x:v>
      </x:c>
      <x:c r="F25" s="30" t="n">
        <x:v>276349</x:v>
      </x:c>
      <x:c r="G25" s="30" t="n">
        <x:v>6359</x:v>
      </x:c>
      <x:c r="H25" s="11" t="str">
        <x:v>No</x:v>
      </x:c>
    </x:row>
    <x:row r="26">
      <x:c r="A26" s="11" t="str">
        <x:v>Country</x:v>
      </x:c>
      <x:c r="B26" s="11" t="str">
        <x:v>Finland</x:v>
      </x:c>
      <x:c r="C26" s="11" t="str">
        <x:v>not_mature_by_proxy</x:v>
      </x:c>
      <x:c r="D26" s="30" t="n">
        <x:v>106939</x:v>
      </x:c>
      <x:c r="E26" s="30" t="n">
        <x:v>0</x:v>
      </x:c>
      <x:c r="F26" s="30" t="n">
        <x:v>0</x:v>
      </x:c>
      <x:c r="G26" s="30" t="n">
        <x:v>106939</x:v>
      </x:c>
      <x:c r="H26" s="11" t="str">
        <x:v>No</x:v>
      </x:c>
    </x:row>
    <x:row r="27">
      <x:c r="A27" s="11" t="str">
        <x:v>Country</x:v>
      </x:c>
      <x:c r="B27" s="11" t="str">
        <x:v>Latvia</x:v>
      </x:c>
      <x:c r="C27" s="11" t="str">
        <x:v>mature_by_file_date_proxy</x:v>
      </x:c>
      <x:c r="D27" s="30" t="n">
        <x:v>6082</x:v>
      </x:c>
      <x:c r="E27" s="30" t="n">
        <x:v>1696</x:v>
      </x:c>
      <x:c r="F27" s="30" t="n">
        <x:v>4086</x:v>
      </x:c>
      <x:c r="G27" s="30" t="n">
        <x:v>300</x:v>
      </x:c>
      <x:c r="H27" s="11" t="str">
        <x:v>No</x:v>
      </x:c>
    </x:row>
    <x:row r="28">
      <x:c r="A28" s="11" t="str">
        <x:v>Country</x:v>
      </x:c>
      <x:c r="B28" s="11" t="str">
        <x:v>Latvia</x:v>
      </x:c>
      <x:c r="C28" s="11" t="str">
        <x:v>not_mature_by_proxy</x:v>
      </x:c>
      <x:c r="D28" s="30" t="n">
        <x:v>5475</x:v>
      </x:c>
      <x:c r="E28" s="30" t="n">
        <x:v>0</x:v>
      </x:c>
      <x:c r="F28" s="30" t="n">
        <x:v>0</x:v>
      </x:c>
      <x:c r="G28" s="30" t="n">
        <x:v>5475</x:v>
      </x:c>
      <x:c r="H28" s="11" t="str">
        <x:v>No</x:v>
      </x:c>
    </x:row>
    <x:row r="29">
      <x:c r="A29" s="11" t="str">
        <x:v>Country</x:v>
      </x:c>
      <x:c r="B29" s="11" t="str">
        <x:v>Lithuania</x:v>
      </x:c>
      <x:c r="C29" s="11" t="str">
        <x:v>mature_by_file_date_proxy</x:v>
      </x:c>
      <x:c r="D29" s="30"/>
      <x:c r="E29" s="30"/>
      <x:c r="F29" s="30"/>
      <x:c r="G29" s="30"/>
      <x:c r="H29" s="11" t="str">
        <x:v>Yes</x:v>
      </x:c>
    </x:row>
    <x:row r="30">
      <x:c r="A30" s="11" t="str">
        <x:v>Country</x:v>
      </x:c>
      <x:c r="B30" s="11" t="str">
        <x:v>Lithuania</x:v>
      </x:c>
      <x:c r="C30" s="11" t="str">
        <x:v>not_mature_by_proxy</x:v>
      </x:c>
      <x:c r="D30" s="30"/>
      <x:c r="E30" s="30"/>
      <x:c r="F30" s="30"/>
      <x:c r="G30" s="30"/>
      <x:c r="H30" s="11" t="str">
        <x:v>Yes</x:v>
      </x:c>
    </x:row>
    <x:row r="31">
      <x:c r="A31" s="11" t="str">
        <x:v>Country</x:v>
      </x:c>
      <x:c r="B31" s="11" t="str">
        <x:v>Netherlands</x:v>
      </x:c>
      <x:c r="C31" s="11" t="str">
        <x:v>mature_by_file_date_proxy</x:v>
      </x:c>
      <x:c r="D31" s="30" t="n">
        <x:v>42269</x:v>
      </x:c>
      <x:c r="E31" s="30" t="n">
        <x:v>2094</x:v>
      </x:c>
      <x:c r="F31" s="30" t="n">
        <x:v>38090</x:v>
      </x:c>
      <x:c r="G31" s="30" t="n">
        <x:v>2085</x:v>
      </x:c>
      <x:c r="H31" s="11" t="str">
        <x:v>No</x:v>
      </x:c>
    </x:row>
    <x:row r="32">
      <x:c r="A32" s="11" t="str">
        <x:v>Country</x:v>
      </x:c>
      <x:c r="B32" s="11" t="str">
        <x:v>Netherlands</x:v>
      </x:c>
      <x:c r="C32" s="11" t="str">
        <x:v>not_mature_by_proxy</x:v>
      </x:c>
      <x:c r="D32" s="30" t="n">
        <x:v>23736</x:v>
      </x:c>
      <x:c r="E32" s="30" t="n">
        <x:v>0</x:v>
      </x:c>
      <x:c r="F32" s="30" t="n">
        <x:v>0</x:v>
      </x:c>
      <x:c r="G32" s="30" t="n">
        <x:v>23736</x:v>
      </x:c>
      <x:c r="H32" s="11" t="str">
        <x:v>No</x:v>
      </x:c>
    </x:row>
    <x:row r="33">
      <x:c r="A33" s="11" t="str">
        <x:v>Country</x:v>
      </x:c>
      <x:c r="B33" s="11" t="str">
        <x:v>Slovakia</x:v>
      </x:c>
      <x:c r="C33" s="11" t="str">
        <x:v>mature_by_file_date_proxy</x:v>
      </x:c>
      <x:c r="D33" s="30" t="n">
        <x:v>346</x:v>
      </x:c>
      <x:c r="E33" s="30" t="n">
        <x:v>209</x:v>
      </x:c>
      <x:c r="F33" s="30" t="n">
        <x:v>137</x:v>
      </x:c>
      <x:c r="G33" s="30" t="n">
        <x:v>0</x:v>
      </x:c>
      <x:c r="H33" s="11" t="str">
        <x:v>No</x:v>
      </x:c>
    </x:row>
    <x:row r="34">
      <x:c r="A34" s="11" t="str">
        <x:v>Country</x:v>
      </x:c>
      <x:c r="B34" s="11" t="str">
        <x:v>Spain</x:v>
      </x:c>
      <x:c r="C34" s="11" t="str">
        <x:v>mature_by_file_date_proxy</x:v>
      </x:c>
      <x:c r="D34" s="30" t="n">
        <x:v>34221</x:v>
      </x:c>
      <x:c r="E34" s="30" t="n">
        <x:v>16671</x:v>
      </x:c>
      <x:c r="F34" s="30" t="n">
        <x:v>17550</x:v>
      </x:c>
      <x:c r="G34" s="30" t="n">
        <x:v>0</x:v>
      </x:c>
      <x:c r="H34" s="11" t="str">
        <x:v>No</x:v>
      </x:c>
    </x:row>
    <x:row r="35">
      <x:c r="A35" s="11" t="str">
        <x:v>Country x year</x:v>
      </x:c>
      <x:c r="B35" s="11" t="str">
        <x:v>Denmark / 2025</x:v>
      </x:c>
      <x:c r="C35" s="11" t="str">
        <x:v>mature_by_file_date_proxy</x:v>
      </x:c>
      <x:c r="D35" s="30" t="n">
        <x:v>1310</x:v>
      </x:c>
      <x:c r="E35" s="30" t="n">
        <x:v>427</x:v>
      </x:c>
      <x:c r="F35" s="30" t="n">
        <x:v>669</x:v>
      </x:c>
      <x:c r="G35" s="30" t="n">
        <x:v>214</x:v>
      </x:c>
      <x:c r="H35" s="11" t="str">
        <x:v>No</x:v>
      </x:c>
    </x:row>
    <x:row r="36">
      <x:c r="A36" s="11" t="str">
        <x:v>Country x year</x:v>
      </x:c>
      <x:c r="B36" s="11" t="str">
        <x:v>Denmark / 2025</x:v>
      </x:c>
      <x:c r="C36" s="11" t="str">
        <x:v>not_mature_by_proxy</x:v>
      </x:c>
      <x:c r="D36" s="30" t="n">
        <x:v>2155</x:v>
      </x:c>
      <x:c r="E36" s="30" t="n">
        <x:v>0</x:v>
      </x:c>
      <x:c r="F36" s="30" t="n">
        <x:v>0</x:v>
      </x:c>
      <x:c r="G36" s="30" t="n">
        <x:v>2155</x:v>
      </x:c>
      <x:c r="H36" s="11" t="str">
        <x:v>No</x:v>
      </x:c>
    </x:row>
    <x:row r="37">
      <x:c r="A37" s="11" t="str">
        <x:v>Country x year</x:v>
      </x:c>
      <x:c r="B37" s="11" t="str">
        <x:v>Denmark / 2026</x:v>
      </x:c>
      <x:c r="C37" s="11" t="str">
        <x:v>not_mature_by_proxy</x:v>
      </x:c>
      <x:c r="D37" s="30" t="n">
        <x:v>5423</x:v>
      </x:c>
      <x:c r="E37" s="30" t="n">
        <x:v>0</x:v>
      </x:c>
      <x:c r="F37" s="30" t="n">
        <x:v>0</x:v>
      </x:c>
      <x:c r="G37" s="30" t="n">
        <x:v>5423</x:v>
      </x:c>
      <x:c r="H37" s="11" t="str">
        <x:v>No</x:v>
      </x:c>
    </x:row>
    <x:row r="38">
      <x:c r="A38" s="11" t="str">
        <x:v>Country x year</x:v>
      </x:c>
      <x:c r="B38" s="11" t="str">
        <x:v>Estonia / 2009</x:v>
      </x:c>
      <x:c r="C38" s="11" t="str">
        <x:v>mature_by_file_date_proxy</x:v>
      </x:c>
      <x:c r="D38" s="30" t="n">
        <x:v>667</x:v>
      </x:c>
      <x:c r="E38" s="30" t="n">
        <x:v>225</x:v>
      </x:c>
      <x:c r="F38" s="30" t="n">
        <x:v>442</x:v>
      </x:c>
      <x:c r="G38" s="30" t="n">
        <x:v>0</x:v>
      </x:c>
      <x:c r="H38" s="11" t="str">
        <x:v>No</x:v>
      </x:c>
    </x:row>
    <x:row r="39">
      <x:c r="A39" s="11" t="str">
        <x:v>Country x year</x:v>
      </x:c>
      <x:c r="B39" s="11" t="str">
        <x:v>Estonia / 2010</x:v>
      </x:c>
      <x:c r="C39" s="11" t="str">
        <x:v>mature_by_file_date_proxy</x:v>
      </x:c>
      <x:c r="D39" s="30" t="n">
        <x:v>1163</x:v>
      </x:c>
      <x:c r="E39" s="30" t="n">
        <x:v>311</x:v>
      </x:c>
      <x:c r="F39" s="30" t="n">
        <x:v>852</x:v>
      </x:c>
      <x:c r="G39" s="30" t="n">
        <x:v>0</x:v>
      </x:c>
      <x:c r="H39" s="11" t="str">
        <x:v>No</x:v>
      </x:c>
    </x:row>
    <x:row r="40">
      <x:c r="A40" s="11" t="str">
        <x:v>Country x year</x:v>
      </x:c>
      <x:c r="B40" s="11" t="str">
        <x:v>Estonia / 2011</x:v>
      </x:c>
      <x:c r="C40" s="11" t="str">
        <x:v>mature_by_file_date_proxy</x:v>
      </x:c>
      <x:c r="D40" s="30" t="n">
        <x:v>451</x:v>
      </x:c>
      <x:c r="E40" s="30" t="n">
        <x:v>68</x:v>
      </x:c>
      <x:c r="F40" s="30" t="n">
        <x:v>383</x:v>
      </x:c>
      <x:c r="G40" s="30" t="n">
        <x:v>0</x:v>
      </x:c>
      <x:c r="H40" s="11" t="str">
        <x:v>No</x:v>
      </x:c>
    </x:row>
    <x:row r="41">
      <x:c r="A41" s="11" t="str">
        <x:v>Country x year</x:v>
      </x:c>
      <x:c r="B41" s="11" t="str">
        <x:v>Estonia / 2012</x:v>
      </x:c>
      <x:c r="C41" s="11" t="str">
        <x:v>mature_by_file_date_proxy</x:v>
      </x:c>
      <x:c r="D41" s="30" t="n">
        <x:v>457</x:v>
      </x:c>
      <x:c r="E41" s="30" t="n">
        <x:v>42</x:v>
      </x:c>
      <x:c r="F41" s="30" t="n">
        <x:v>415</x:v>
      </x:c>
      <x:c r="G41" s="30" t="n">
        <x:v>0</x:v>
      </x:c>
      <x:c r="H41" s="11" t="str">
        <x:v>No</x:v>
      </x:c>
    </x:row>
    <x:row r="42">
      <x:c r="A42" s="11" t="str">
        <x:v>Country x year</x:v>
      </x:c>
      <x:c r="B42" s="11" t="str">
        <x:v>Estonia / 2013</x:v>
      </x:c>
      <x:c r="C42" s="11" t="str">
        <x:v>mature_by_file_date_proxy</x:v>
      </x:c>
      <x:c r="D42" s="30" t="n">
        <x:v>2293</x:v>
      </x:c>
      <x:c r="E42" s="30" t="n">
        <x:v>274</x:v>
      </x:c>
      <x:c r="F42" s="30" t="n">
        <x:v>2019</x:v>
      </x:c>
      <x:c r="G42" s="30" t="n">
        <x:v>0</x:v>
      </x:c>
      <x:c r="H42" s="11" t="str">
        <x:v>No</x:v>
      </x:c>
    </x:row>
    <x:row r="43">
      <x:c r="A43" s="11" t="str">
        <x:v>Country x year</x:v>
      </x:c>
      <x:c r="B43" s="11" t="str">
        <x:v>Estonia / 2014</x:v>
      </x:c>
      <x:c r="C43" s="11" t="str">
        <x:v>mature_by_file_date_proxy</x:v>
      </x:c>
      <x:c r="D43" s="30" t="n">
        <x:v>4601</x:v>
      </x:c>
      <x:c r="E43" s="30" t="n">
        <x:v>573</x:v>
      </x:c>
      <x:c r="F43" s="30" t="n">
        <x:v>4028</x:v>
      </x:c>
      <x:c r="G43" s="30" t="n">
        <x:v>0</x:v>
      </x:c>
      <x:c r="H43" s="11" t="str">
        <x:v>No</x:v>
      </x:c>
    </x:row>
    <x:row r="44">
      <x:c r="A44" s="11" t="str">
        <x:v>Country x year</x:v>
      </x:c>
      <x:c r="B44" s="11" t="str">
        <x:v>Estonia / 2015</x:v>
      </x:c>
      <x:c r="C44" s="11" t="str">
        <x:v>mature_by_file_date_proxy</x:v>
      </x:c>
      <x:c r="D44" s="30" t="n">
        <x:v>5886</x:v>
      </x:c>
      <x:c r="E44" s="30" t="n">
        <x:v>503</x:v>
      </x:c>
      <x:c r="F44" s="30" t="n">
        <x:v>5383</x:v>
      </x:c>
      <x:c r="G44" s="30" t="n">
        <x:v>0</x:v>
      </x:c>
      <x:c r="H44" s="11" t="str">
        <x:v>No</x:v>
      </x:c>
    </x:row>
    <x:row r="45">
      <x:c r="A45" s="11" t="str">
        <x:v>Country x year</x:v>
      </x:c>
      <x:c r="B45" s="11" t="str">
        <x:v>Estonia / 2016</x:v>
      </x:c>
      <x:c r="C45" s="11" t="str">
        <x:v>mature_by_file_date_proxy</x:v>
      </x:c>
      <x:c r="D45" s="30" t="n">
        <x:v>6030</x:v>
      </x:c>
      <x:c r="E45" s="30" t="n">
        <x:v>1305</x:v>
      </x:c>
      <x:c r="F45" s="30" t="n">
        <x:v>4725</x:v>
      </x:c>
      <x:c r="G45" s="30" t="n">
        <x:v>0</x:v>
      </x:c>
      <x:c r="H45" s="11" t="str">
        <x:v>No</x:v>
      </x:c>
    </x:row>
    <x:row r="46">
      <x:c r="A46" s="11" t="str">
        <x:v>Country x year</x:v>
      </x:c>
      <x:c r="B46" s="11" t="str">
        <x:v>Estonia / 2017</x:v>
      </x:c>
      <x:c r="C46" s="11" t="str">
        <x:v>mature_by_file_date_proxy</x:v>
      </x:c>
      <x:c r="D46" s="30" t="n">
        <x:v>11142</x:v>
      </x:c>
      <x:c r="E46" s="30" t="n">
        <x:v>2462</x:v>
      </x:c>
      <x:c r="F46" s="30" t="n">
        <x:v>8680</x:v>
      </x:c>
      <x:c r="G46" s="30" t="n">
        <x:v>0</x:v>
      </x:c>
      <x:c r="H46" s="11" t="str">
        <x:v>No</x:v>
      </x:c>
    </x:row>
    <x:row r="47">
      <x:c r="A47" s="11" t="str">
        <x:v>Country x year</x:v>
      </x:c>
      <x:c r="B47" s="11" t="str">
        <x:v>Estonia / 2018</x:v>
      </x:c>
      <x:c r="C47" s="11" t="str">
        <x:v>mature_by_file_date_proxy</x:v>
      </x:c>
      <x:c r="D47" s="30" t="n">
        <x:v>17152</x:v>
      </x:c>
      <x:c r="E47" s="30" t="n">
        <x:v>2865</x:v>
      </x:c>
      <x:c r="F47" s="30" t="n">
        <x:v>14287</x:v>
      </x:c>
      <x:c r="G47" s="30" t="n">
        <x:v>0</x:v>
      </x:c>
      <x:c r="H47" s="11" t="str">
        <x:v>No</x:v>
      </x:c>
    </x:row>
    <x:row r="48">
      <x:c r="A48" s="11" t="str">
        <x:v>Country x year</x:v>
      </x:c>
      <x:c r="B48" s="11" t="str">
        <x:v>Estonia / 2019</x:v>
      </x:c>
      <x:c r="C48" s="11" t="str">
        <x:v>mature_by_file_date_proxy</x:v>
      </x:c>
      <x:c r="D48" s="30" t="n">
        <x:v>28908</x:v>
      </x:c>
      <x:c r="E48" s="30" t="n">
        <x:v>4871</x:v>
      </x:c>
      <x:c r="F48" s="30" t="n">
        <x:v>24037</x:v>
      </x:c>
      <x:c r="G48" s="30" t="n">
        <x:v>0</x:v>
      </x:c>
      <x:c r="H48" s="11" t="str">
        <x:v>No</x:v>
      </x:c>
    </x:row>
    <x:row r="49">
      <x:c r="A49" s="11" t="str">
        <x:v>Country x year</x:v>
      </x:c>
      <x:c r="B49" s="11" t="str">
        <x:v>Estonia / 2020</x:v>
      </x:c>
      <x:c r="C49" s="11" t="str">
        <x:v>mature_by_file_date_proxy</x:v>
      </x:c>
      <x:c r="D49" s="30" t="n">
        <x:v>20264</x:v>
      </x:c>
      <x:c r="E49" s="30" t="n">
        <x:v>2292</x:v>
      </x:c>
      <x:c r="F49" s="30" t="n">
        <x:v>17972</x:v>
      </x:c>
      <x:c r="G49" s="30" t="n">
        <x:v>0</x:v>
      </x:c>
      <x:c r="H49" s="11" t="str">
        <x:v>No</x:v>
      </x:c>
    </x:row>
    <x:row r="50">
      <x:c r="A50" s="11" t="str">
        <x:v>Country x year</x:v>
      </x:c>
      <x:c r="B50" s="11" t="str">
        <x:v>Estonia / 2021</x:v>
      </x:c>
      <x:c r="C50" s="11" t="str">
        <x:v>mature_by_file_date_proxy</x:v>
      </x:c>
      <x:c r="D50" s="30" t="n">
        <x:v>30570</x:v>
      </x:c>
      <x:c r="E50" s="30" t="n">
        <x:v>3701</x:v>
      </x:c>
      <x:c r="F50" s="30" t="n">
        <x:v>26869</x:v>
      </x:c>
      <x:c r="G50" s="30" t="n">
        <x:v>0</x:v>
      </x:c>
      <x:c r="H50" s="11" t="str">
        <x:v>No</x:v>
      </x:c>
    </x:row>
    <x:row r="51">
      <x:c r="A51" s="11" t="str">
        <x:v>Country x year</x:v>
      </x:c>
      <x:c r="B51" s="11" t="str">
        <x:v>Estonia / 2022</x:v>
      </x:c>
      <x:c r="C51" s="11" t="str">
        <x:v>mature_by_file_date_proxy</x:v>
      </x:c>
      <x:c r="D51" s="30" t="n">
        <x:v>24547</x:v>
      </x:c>
      <x:c r="E51" s="30" t="n">
        <x:v>3556</x:v>
      </x:c>
      <x:c r="F51" s="30" t="n">
        <x:v>20991</x:v>
      </x:c>
      <x:c r="G51" s="30" t="n">
        <x:v>0</x:v>
      </x:c>
      <x:c r="H51" s="11" t="str">
        <x:v>No</x:v>
      </x:c>
    </x:row>
    <x:row r="52">
      <x:c r="A52" s="11" t="str">
        <x:v>Country x year</x:v>
      </x:c>
      <x:c r="B52" s="11" t="str">
        <x:v>Estonia / 2023</x:v>
      </x:c>
      <x:c r="C52" s="11" t="str">
        <x:v>mature_by_file_date_proxy</x:v>
      </x:c>
      <x:c r="D52" s="30" t="n">
        <x:v>16624</x:v>
      </x:c>
      <x:c r="E52" s="30" t="n">
        <x:v>1386</x:v>
      </x:c>
      <x:c r="F52" s="30" t="n">
        <x:v>15238</x:v>
      </x:c>
      <x:c r="G52" s="30" t="n">
        <x:v>0</x:v>
      </x:c>
      <x:c r="H52" s="11" t="str">
        <x:v>No</x:v>
      </x:c>
    </x:row>
    <x:row r="53">
      <x:c r="A53" s="11" t="str">
        <x:v>Country x year</x:v>
      </x:c>
      <x:c r="B53" s="11" t="str">
        <x:v>Estonia / 2024</x:v>
      </x:c>
      <x:c r="C53" s="11" t="str">
        <x:v>mature_by_file_date_proxy</x:v>
      </x:c>
      <x:c r="D53" s="30" t="n">
        <x:v>25521</x:v>
      </x:c>
      <x:c r="E53" s="30" t="n">
        <x:v>2350</x:v>
      </x:c>
      <x:c r="F53" s="30" t="n">
        <x:v>23171</x:v>
      </x:c>
      <x:c r="G53" s="30" t="n">
        <x:v>0</x:v>
      </x:c>
      <x:c r="H53" s="11" t="str">
        <x:v>No</x:v>
      </x:c>
    </x:row>
    <x:row r="54">
      <x:c r="A54" s="11" t="str">
        <x:v>Country x year</x:v>
      </x:c>
      <x:c r="B54" s="11" t="str">
        <x:v>Estonia / 2025</x:v>
      </x:c>
      <x:c r="C54" s="11" t="str">
        <x:v>mature_by_file_date_proxy</x:v>
      </x:c>
      <x:c r="D54" s="30" t="n">
        <x:v>17025</x:v>
      </x:c>
      <x:c r="E54" s="30" t="n">
        <x:v>1251</x:v>
      </x:c>
      <x:c r="F54" s="30" t="n">
        <x:v>13872</x:v>
      </x:c>
      <x:c r="G54" s="30" t="n">
        <x:v>1902</x:v>
      </x:c>
      <x:c r="H54" s="11" t="str">
        <x:v>No</x:v>
      </x:c>
    </x:row>
    <x:row r="55">
      <x:c r="A55" s="11" t="str">
        <x:v>Country x year</x:v>
      </x:c>
      <x:c r="B55" s="11" t="str">
        <x:v>Estonia / 2025</x:v>
      </x:c>
      <x:c r="C55" s="11" t="str">
        <x:v>not_mature_by_proxy</x:v>
      </x:c>
      <x:c r="D55" s="30" t="n">
        <x:v>12712</x:v>
      </x:c>
      <x:c r="E55" s="30" t="n">
        <x:v>0</x:v>
      </x:c>
      <x:c r="F55" s="30" t="n">
        <x:v>0</x:v>
      </x:c>
      <x:c r="G55" s="30" t="n">
        <x:v>12712</x:v>
      </x:c>
      <x:c r="H55" s="11" t="str">
        <x:v>No</x:v>
      </x:c>
    </x:row>
    <x:row r="56">
      <x:c r="A56" s="11" t="str">
        <x:v>Country x year</x:v>
      </x:c>
      <x:c r="B56" s="11" t="str">
        <x:v>Estonia / 2026</x:v>
      </x:c>
      <x:c r="C56" s="11" t="str">
        <x:v>not_mature_by_proxy</x:v>
      </x:c>
      <x:c r="D56" s="30" t="n">
        <x:v>14974</x:v>
      </x:c>
      <x:c r="E56" s="30" t="n">
        <x:v>0</x:v>
      </x:c>
      <x:c r="F56" s="30" t="n">
        <x:v>0</x:v>
      </x:c>
      <x:c r="G56" s="30" t="n">
        <x:v>14974</x:v>
      </x:c>
      <x:c r="H56" s="11" t="str">
        <x:v>No</x:v>
      </x:c>
    </x:row>
    <x:row r="57">
      <x:c r="A57" s="11" t="str">
        <x:v>Country x year</x:v>
      </x:c>
      <x:c r="B57" s="11" t="str">
        <x:v>Finland / 2013</x:v>
      </x:c>
      <x:c r="C57" s="11" t="str">
        <x:v>mature_by_file_date_proxy</x:v>
      </x:c>
      <x:c r="D57" s="30" t="n">
        <x:v>165</x:v>
      </x:c>
      <x:c r="E57" s="30" t="n">
        <x:v>36</x:v>
      </x:c>
      <x:c r="F57" s="30" t="n">
        <x:v>129</x:v>
      </x:c>
      <x:c r="G57" s="30" t="n">
        <x:v>0</x:v>
      </x:c>
      <x:c r="H57" s="11" t="str">
        <x:v>No</x:v>
      </x:c>
    </x:row>
    <x:row r="58">
      <x:c r="A58" s="11" t="str">
        <x:v>Country x year</x:v>
      </x:c>
      <x:c r="B58" s="11" t="str">
        <x:v>Finland / 2014</x:v>
      </x:c>
      <x:c r="C58" s="11" t="str">
        <x:v>mature_by_file_date_proxy</x:v>
      </x:c>
      <x:c r="D58" s="30" t="n">
        <x:v>1665</x:v>
      </x:c>
      <x:c r="E58" s="30" t="n">
        <x:v>494</x:v>
      </x:c>
      <x:c r="F58" s="30" t="n">
        <x:v>1171</x:v>
      </x:c>
      <x:c r="G58" s="30" t="n">
        <x:v>0</x:v>
      </x:c>
      <x:c r="H58" s="11" t="str">
        <x:v>No</x:v>
      </x:c>
    </x:row>
    <x:row r="59">
      <x:c r="A59" s="11" t="str">
        <x:v>Country x year</x:v>
      </x:c>
      <x:c r="B59" s="11" t="str">
        <x:v>Finland / 2015</x:v>
      </x:c>
      <x:c r="C59" s="11" t="str">
        <x:v>mature_by_file_date_proxy</x:v>
      </x:c>
      <x:c r="D59" s="30" t="n">
        <x:v>3889</x:v>
      </x:c>
      <x:c r="E59" s="30" t="n">
        <x:v>901</x:v>
      </x:c>
      <x:c r="F59" s="30" t="n">
        <x:v>2988</x:v>
      </x:c>
      <x:c r="G59" s="30" t="n">
        <x:v>0</x:v>
      </x:c>
      <x:c r="H59" s="11" t="str">
        <x:v>No</x:v>
      </x:c>
    </x:row>
    <x:row r="60">
      <x:c r="A60" s="11" t="str">
        <x:v>Country x year</x:v>
      </x:c>
      <x:c r="B60" s="11" t="str">
        <x:v>Finland / 2016</x:v>
      </x:c>
      <x:c r="C60" s="11" t="str">
        <x:v>mature_by_file_date_proxy</x:v>
      </x:c>
      <x:c r="D60" s="30" t="n">
        <x:v>1851</x:v>
      </x:c>
      <x:c r="E60" s="30" t="n">
        <x:v>679</x:v>
      </x:c>
      <x:c r="F60" s="30" t="n">
        <x:v>1172</x:v>
      </x:c>
      <x:c r="G60" s="30" t="n">
        <x:v>0</x:v>
      </x:c>
      <x:c r="H60" s="11" t="str">
        <x:v>No</x:v>
      </x:c>
    </x:row>
    <x:row r="61">
      <x:c r="A61" s="11" t="str">
        <x:v>Country x year</x:v>
      </x:c>
      <x:c r="B61" s="11" t="str">
        <x:v>Finland / 2017</x:v>
      </x:c>
      <x:c r="C61" s="11" t="str">
        <x:v>mature_by_file_date_proxy</x:v>
      </x:c>
      <x:c r="D61" s="30" t="n">
        <x:v>2655</x:v>
      </x:c>
      <x:c r="E61" s="30" t="n">
        <x:v>1367</x:v>
      </x:c>
      <x:c r="F61" s="30" t="n">
        <x:v>1288</x:v>
      </x:c>
      <x:c r="G61" s="30" t="n">
        <x:v>0</x:v>
      </x:c>
      <x:c r="H61" s="11" t="str">
        <x:v>No</x:v>
      </x:c>
    </x:row>
    <x:row r="62">
      <x:c r="A62" s="11" t="str">
        <x:v>Country x year</x:v>
      </x:c>
      <x:c r="B62" s="11" t="str">
        <x:v>Finland / 2018</x:v>
      </x:c>
      <x:c r="C62" s="11" t="str">
        <x:v>mature_by_file_date_proxy</x:v>
      </x:c>
      <x:c r="D62" s="30" t="n">
        <x:v>6566</x:v>
      </x:c>
      <x:c r="E62" s="30" t="n">
        <x:v>3263</x:v>
      </x:c>
      <x:c r="F62" s="30" t="n">
        <x:v>3303</x:v>
      </x:c>
      <x:c r="G62" s="30" t="n">
        <x:v>0</x:v>
      </x:c>
      <x:c r="H62" s="11" t="str">
        <x:v>No</x:v>
      </x:c>
    </x:row>
    <x:row r="63">
      <x:c r="A63" s="11" t="str">
        <x:v>Country x year</x:v>
      </x:c>
      <x:c r="B63" s="11" t="str">
        <x:v>Finland / 2019</x:v>
      </x:c>
      <x:c r="C63" s="11" t="str">
        <x:v>mature_by_file_date_proxy</x:v>
      </x:c>
      <x:c r="D63" s="30" t="n">
        <x:v>16557</x:v>
      </x:c>
      <x:c r="E63" s="30" t="n">
        <x:v>5996</x:v>
      </x:c>
      <x:c r="F63" s="30" t="n">
        <x:v>10561</x:v>
      </x:c>
      <x:c r="G63" s="30" t="n">
        <x:v>0</x:v>
      </x:c>
      <x:c r="H63" s="11" t="str">
        <x:v>No</x:v>
      </x:c>
    </x:row>
    <x:row r="64">
      <x:c r="A64" s="11" t="str">
        <x:v>Country x year</x:v>
      </x:c>
      <x:c r="B64" s="11" t="str">
        <x:v>Finland / 2020</x:v>
      </x:c>
      <x:c r="C64" s="11" t="str">
        <x:v>mature_by_file_date_proxy</x:v>
      </x:c>
      <x:c r="D64" s="30" t="n">
        <x:v>4567</x:v>
      </x:c>
      <x:c r="E64" s="30" t="n">
        <x:v>990</x:v>
      </x:c>
      <x:c r="F64" s="30" t="n">
        <x:v>3577</x:v>
      </x:c>
      <x:c r="G64" s="30" t="n">
        <x:v>0</x:v>
      </x:c>
      <x:c r="H64" s="11" t="str">
        <x:v>No</x:v>
      </x:c>
    </x:row>
    <x:row r="65">
      <x:c r="A65" s="11" t="str">
        <x:v>Country x year</x:v>
      </x:c>
      <x:c r="B65" s="11" t="str">
        <x:v>Finland / 2021</x:v>
      </x:c>
      <x:c r="C65" s="11" t="str">
        <x:v>mature_by_file_date_proxy</x:v>
      </x:c>
      <x:c r="D65" s="30" t="n">
        <x:v>21026</x:v>
      </x:c>
      <x:c r="E65" s="30" t="n">
        <x:v>1581</x:v>
      </x:c>
      <x:c r="F65" s="30" t="n">
        <x:v>19445</x:v>
      </x:c>
      <x:c r="G65" s="30" t="n">
        <x:v>0</x:v>
      </x:c>
      <x:c r="H65" s="11" t="str">
        <x:v>No</x:v>
      </x:c>
    </x:row>
    <x:row r="66">
      <x:c r="A66" s="11" t="str">
        <x:v>Country x year</x:v>
      </x:c>
      <x:c r="B66" s="11" t="str">
        <x:v>Finland / 2022</x:v>
      </x:c>
      <x:c r="C66" s="11" t="str">
        <x:v>mature_by_file_date_proxy</x:v>
      </x:c>
      <x:c r="D66" s="30" t="n">
        <x:v>35606</x:v>
      </x:c>
      <x:c r="E66" s="30" t="n">
        <x:v>3524</x:v>
      </x:c>
      <x:c r="F66" s="30" t="n">
        <x:v>32082</x:v>
      </x:c>
      <x:c r="G66" s="30" t="n">
        <x:v>0</x:v>
      </x:c>
      <x:c r="H66" s="11" t="str">
        <x:v>No</x:v>
      </x:c>
    </x:row>
    <x:row r="67">
      <x:c r="A67" s="11" t="str">
        <x:v>Country x year</x:v>
      </x:c>
      <x:c r="B67" s="11" t="str">
        <x:v>Finland / 2023</x:v>
      </x:c>
      <x:c r="C67" s="11" t="str">
        <x:v>mature_by_file_date_proxy</x:v>
      </x:c>
      <x:c r="D67" s="30" t="n">
        <x:v>58145</x:v>
      </x:c>
      <x:c r="E67" s="30" t="n">
        <x:v>6401</x:v>
      </x:c>
      <x:c r="F67" s="30" t="n">
        <x:v>51744</x:v>
      </x:c>
      <x:c r="G67" s="30" t="n">
        <x:v>0</x:v>
      </x:c>
      <x:c r="H67" s="11" t="str">
        <x:v>No</x:v>
      </x:c>
    </x:row>
    <x:row r="68">
      <x:c r="A68" s="11" t="str">
        <x:v>Country x year</x:v>
      </x:c>
      <x:c r="B68" s="11" t="str">
        <x:v>Finland / 2024</x:v>
      </x:c>
      <x:c r="C68" s="11" t="str">
        <x:v>mature_by_file_date_proxy</x:v>
      </x:c>
      <x:c r="D68" s="30" t="n">
        <x:v>98253</x:v>
      </x:c>
      <x:c r="E68" s="30" t="n">
        <x:v>7860</x:v>
      </x:c>
      <x:c r="F68" s="30" t="n">
        <x:v>90393</x:v>
      </x:c>
      <x:c r="G68" s="30" t="n">
        <x:v>0</x:v>
      </x:c>
      <x:c r="H68" s="11" t="str">
        <x:v>No</x:v>
      </x:c>
    </x:row>
    <x:row r="69">
      <x:c r="A69" s="11" t="str">
        <x:v>Country x year</x:v>
      </x:c>
      <x:c r="B69" s="11" t="str">
        <x:v>Finland / 2025</x:v>
      </x:c>
      <x:c r="C69" s="11" t="str">
        <x:v>mature_by_file_date_proxy</x:v>
      </x:c>
      <x:c r="D69" s="30" t="n">
        <x:v>69249</x:v>
      </x:c>
      <x:c r="E69" s="30" t="n">
        <x:v>4394</x:v>
      </x:c>
      <x:c r="F69" s="30" t="n">
        <x:v>58496</x:v>
      </x:c>
      <x:c r="G69" s="30" t="n">
        <x:v>6359</x:v>
      </x:c>
      <x:c r="H69" s="11" t="str">
        <x:v>No</x:v>
      </x:c>
    </x:row>
    <x:row r="70">
      <x:c r="A70" s="11" t="str">
        <x:v>Country x year</x:v>
      </x:c>
      <x:c r="B70" s="11" t="str">
        <x:v>Finland / 2025</x:v>
      </x:c>
      <x:c r="C70" s="11" t="str">
        <x:v>not_mature_by_proxy</x:v>
      </x:c>
      <x:c r="D70" s="30" t="n">
        <x:v>45869</x:v>
      </x:c>
      <x:c r="E70" s="30" t="n">
        <x:v>0</x:v>
      </x:c>
      <x:c r="F70" s="30" t="n">
        <x:v>0</x:v>
      </x:c>
      <x:c r="G70" s="30" t="n">
        <x:v>45869</x:v>
      </x:c>
      <x:c r="H70" s="11" t="str">
        <x:v>No</x:v>
      </x:c>
    </x:row>
    <x:row r="71">
      <x:c r="A71" s="11" t="str">
        <x:v>Country x year</x:v>
      </x:c>
      <x:c r="B71" s="11" t="str">
        <x:v>Finland / 2026</x:v>
      </x:c>
      <x:c r="C71" s="11" t="str">
        <x:v>not_mature_by_proxy</x:v>
      </x:c>
      <x:c r="D71" s="30" t="n">
        <x:v>61070</x:v>
      </x:c>
      <x:c r="E71" s="30" t="n">
        <x:v>0</x:v>
      </x:c>
      <x:c r="F71" s="30" t="n">
        <x:v>0</x:v>
      </x:c>
      <x:c r="G71" s="30" t="n">
        <x:v>61070</x:v>
      </x:c>
      <x:c r="H71" s="11" t="str">
        <x:v>No</x:v>
      </x:c>
    </x:row>
    <x:row r="72">
      <x:c r="A72" s="11" t="str">
        <x:v>Country x year</x:v>
      </x:c>
      <x:c r="B72" s="11" t="str">
        <x:v>Latvia / 2023</x:v>
      </x:c>
      <x:c r="C72" s="11" t="str">
        <x:v>mature_by_file_date_proxy</x:v>
      </x:c>
      <x:c r="D72" s="30"/>
      <x:c r="E72" s="30"/>
      <x:c r="F72" s="30"/>
      <x:c r="G72" s="30"/>
      <x:c r="H72" s="11" t="str">
        <x:v>Yes</x:v>
      </x:c>
    </x:row>
    <x:row r="73">
      <x:c r="A73" s="11" t="str">
        <x:v>Country x year</x:v>
      </x:c>
      <x:c r="B73" s="11" t="str">
        <x:v>Latvia / 2024</x:v>
      </x:c>
      <x:c r="C73" s="11" t="str">
        <x:v>mature_by_file_date_proxy</x:v>
      </x:c>
      <x:c r="D73" s="30" t="n">
        <x:v>3032</x:v>
      </x:c>
      <x:c r="E73" s="30" t="n">
        <x:v>921</x:v>
      </x:c>
      <x:c r="F73" s="30" t="n">
        <x:v>2111</x:v>
      </x:c>
      <x:c r="G73" s="30" t="n">
        <x:v>0</x:v>
      </x:c>
      <x:c r="H73" s="11" t="str">
        <x:v>No</x:v>
      </x:c>
    </x:row>
    <x:row r="74">
      <x:c r="A74" s="11" t="str">
        <x:v>Country x year</x:v>
      </x:c>
      <x:c r="B74" s="11" t="str">
        <x:v>Latvia / 2025</x:v>
      </x:c>
      <x:c r="C74" s="11" t="str">
        <x:v>mature_by_file_date_proxy</x:v>
      </x:c>
      <x:c r="D74" s="30" t="n">
        <x:v>3049</x:v>
      </x:c>
      <x:c r="E74" s="30" t="n">
        <x:v>775</x:v>
      </x:c>
      <x:c r="F74" s="30" t="n">
        <x:v>1974</x:v>
      </x:c>
      <x:c r="G74" s="30" t="n">
        <x:v>300</x:v>
      </x:c>
      <x:c r="H74" s="11" t="str">
        <x:v>No</x:v>
      </x:c>
    </x:row>
    <x:row r="75">
      <x:c r="A75" s="11" t="str">
        <x:v>Country x year</x:v>
      </x:c>
      <x:c r="B75" s="11" t="str">
        <x:v>Latvia / 2025</x:v>
      </x:c>
      <x:c r="C75" s="11" t="str">
        <x:v>not_mature_by_proxy</x:v>
      </x:c>
      <x:c r="D75" s="30" t="n">
        <x:v>2281</x:v>
      </x:c>
      <x:c r="E75" s="30" t="n">
        <x:v>0</x:v>
      </x:c>
      <x:c r="F75" s="30" t="n">
        <x:v>0</x:v>
      </x:c>
      <x:c r="G75" s="30" t="n">
        <x:v>2281</x:v>
      </x:c>
      <x:c r="H75" s="11" t="str">
        <x:v>No</x:v>
      </x:c>
    </x:row>
    <x:row r="76">
      <x:c r="A76" s="11" t="str">
        <x:v>Country x year</x:v>
      </x:c>
      <x:c r="B76" s="11" t="str">
        <x:v>Latvia / 2026</x:v>
      </x:c>
      <x:c r="C76" s="11" t="str">
        <x:v>not_mature_by_proxy</x:v>
      </x:c>
      <x:c r="D76" s="30" t="n">
        <x:v>3194</x:v>
      </x:c>
      <x:c r="E76" s="30" t="n">
        <x:v>0</x:v>
      </x:c>
      <x:c r="F76" s="30" t="n">
        <x:v>0</x:v>
      </x:c>
      <x:c r="G76" s="30" t="n">
        <x:v>3194</x:v>
      </x:c>
      <x:c r="H76" s="11" t="str">
        <x:v>No</x:v>
      </x:c>
    </x:row>
    <x:row r="77">
      <x:c r="A77" s="11" t="str">
        <x:v>Country x year</x:v>
      </x:c>
      <x:c r="B77" s="11" t="str">
        <x:v>Lithuania / 2025</x:v>
      </x:c>
      <x:c r="C77" s="11" t="str">
        <x:v>mature_by_file_date_proxy</x:v>
      </x:c>
      <x:c r="D77" s="30"/>
      <x:c r="E77" s="30"/>
      <x:c r="F77" s="30"/>
      <x:c r="G77" s="30"/>
      <x:c r="H77" s="11" t="str">
        <x:v>Yes</x:v>
      </x:c>
    </x:row>
    <x:row r="78">
      <x:c r="A78" s="11" t="str">
        <x:v>Country x year</x:v>
      </x:c>
      <x:c r="B78" s="11" t="str">
        <x:v>Lithuania / 2026</x:v>
      </x:c>
      <x:c r="C78" s="11" t="str">
        <x:v>not_mature_by_proxy</x:v>
      </x:c>
      <x:c r="D78" s="30"/>
      <x:c r="E78" s="30"/>
      <x:c r="F78" s="30"/>
      <x:c r="G78" s="30"/>
      <x:c r="H78" s="11" t="str">
        <x:v>Yes</x:v>
      </x:c>
    </x:row>
    <x:row r="79">
      <x:c r="A79" s="11" t="str">
        <x:v>Country x year</x:v>
      </x:c>
      <x:c r="B79" s="11" t="str">
        <x:v>Netherlands / 2022</x:v>
      </x:c>
      <x:c r="C79" s="11" t="str">
        <x:v>mature_by_file_date_proxy</x:v>
      </x:c>
      <x:c r="D79" s="30" t="n">
        <x:v>245</x:v>
      </x:c>
      <x:c r="E79" s="30" t="n">
        <x:v>73</x:v>
      </x:c>
      <x:c r="F79" s="30" t="n">
        <x:v>172</x:v>
      </x:c>
      <x:c r="G79" s="30" t="n">
        <x:v>0</x:v>
      </x:c>
      <x:c r="H79" s="11" t="str">
        <x:v>No</x:v>
      </x:c>
    </x:row>
    <x:row r="80">
      <x:c r="A80" s="11" t="str">
        <x:v>Country x year</x:v>
      </x:c>
      <x:c r="B80" s="11" t="str">
        <x:v>Netherlands / 2023</x:v>
      </x:c>
      <x:c r="C80" s="11" t="str">
        <x:v>mature_by_file_date_proxy</x:v>
      </x:c>
      <x:c r="D80" s="30" t="n">
        <x:v>5208</x:v>
      </x:c>
      <x:c r="E80" s="30" t="n">
        <x:v>404</x:v>
      </x:c>
      <x:c r="F80" s="30" t="n">
        <x:v>4804</x:v>
      </x:c>
      <x:c r="G80" s="30" t="n">
        <x:v>0</x:v>
      </x:c>
      <x:c r="H80" s="11" t="str">
        <x:v>No</x:v>
      </x:c>
    </x:row>
    <x:row r="81">
      <x:c r="A81" s="11" t="str">
        <x:v>Country x year</x:v>
      </x:c>
      <x:c r="B81" s="11" t="str">
        <x:v>Netherlands / 2024</x:v>
      </x:c>
      <x:c r="C81" s="11" t="str">
        <x:v>mature_by_file_date_proxy</x:v>
      </x:c>
      <x:c r="D81" s="30" t="n">
        <x:v>20449</x:v>
      </x:c>
      <x:c r="E81" s="30" t="n">
        <x:v>965</x:v>
      </x:c>
      <x:c r="F81" s="30" t="n">
        <x:v>19484</x:v>
      </x:c>
      <x:c r="G81" s="30" t="n">
        <x:v>0</x:v>
      </x:c>
      <x:c r="H81" s="11" t="str">
        <x:v>No</x:v>
      </x:c>
    </x:row>
    <x:row r="82">
      <x:c r="A82" s="11" t="str">
        <x:v>Country x year</x:v>
      </x:c>
      <x:c r="B82" s="11" t="str">
        <x:v>Netherlands / 2025</x:v>
      </x:c>
      <x:c r="C82" s="11" t="str">
        <x:v>mature_by_file_date_proxy</x:v>
      </x:c>
      <x:c r="D82" s="30" t="n">
        <x:v>16367</x:v>
      </x:c>
      <x:c r="E82" s="30" t="n">
        <x:v>652</x:v>
      </x:c>
      <x:c r="F82" s="30" t="n">
        <x:v>13630</x:v>
      </x:c>
      <x:c r="G82" s="30" t="n">
        <x:v>2085</x:v>
      </x:c>
      <x:c r="H82" s="11" t="str">
        <x:v>No</x:v>
      </x:c>
    </x:row>
    <x:row r="83">
      <x:c r="A83" s="11" t="str">
        <x:v>Country x year</x:v>
      </x:c>
      <x:c r="B83" s="11" t="str">
        <x:v>Netherlands / 2025</x:v>
      </x:c>
      <x:c r="C83" s="11" t="str">
        <x:v>not_mature_by_proxy</x:v>
      </x:c>
      <x:c r="D83" s="30" t="n">
        <x:v>12038</x:v>
      </x:c>
      <x:c r="E83" s="30" t="n">
        <x:v>0</x:v>
      </x:c>
      <x:c r="F83" s="30" t="n">
        <x:v>0</x:v>
      </x:c>
      <x:c r="G83" s="30" t="n">
        <x:v>12038</x:v>
      </x:c>
      <x:c r="H83" s="11" t="str">
        <x:v>No</x:v>
      </x:c>
    </x:row>
    <x:row r="84">
      <x:c r="A84" s="11" t="str">
        <x:v>Country x year</x:v>
      </x:c>
      <x:c r="B84" s="11" t="str">
        <x:v>Netherlands / 2026</x:v>
      </x:c>
      <x:c r="C84" s="11" t="str">
        <x:v>not_mature_by_proxy</x:v>
      </x:c>
      <x:c r="D84" s="30" t="n">
        <x:v>11698</x:v>
      </x:c>
      <x:c r="E84" s="30" t="n">
        <x:v>0</x:v>
      </x:c>
      <x:c r="F84" s="30" t="n">
        <x:v>0</x:v>
      </x:c>
      <x:c r="G84" s="30" t="n">
        <x:v>11698</x:v>
      </x:c>
      <x:c r="H84" s="11" t="str">
        <x:v>No</x:v>
      </x:c>
    </x:row>
    <x:row r="85">
      <x:c r="A85" s="11" t="str">
        <x:v>Country x year</x:v>
      </x:c>
      <x:c r="B85" s="11" t="str">
        <x:v>Slovakia / 2014</x:v>
      </x:c>
      <x:c r="C85" s="11" t="str">
        <x:v>mature_by_file_date_proxy</x:v>
      </x:c>
      <x:c r="D85" s="30" t="n">
        <x:v>342</x:v>
      </x:c>
      <x:c r="E85" s="30" t="n">
        <x:v>207</x:v>
      </x:c>
      <x:c r="F85" s="30" t="n">
        <x:v>135</x:v>
      </x:c>
      <x:c r="G85" s="30" t="n">
        <x:v>0</x:v>
      </x:c>
      <x:c r="H85" s="11" t="str">
        <x:v>No</x:v>
      </x:c>
    </x:row>
    <x:row r="86">
      <x:c r="A86" s="11" t="str">
        <x:v>Country x year</x:v>
      </x:c>
      <x:c r="B86" s="11" t="str">
        <x:v>Slovakia / 2015</x:v>
      </x:c>
      <x:c r="C86" s="11" t="str">
        <x:v>mature_by_file_date_proxy</x:v>
      </x:c>
      <x:c r="D86" s="30"/>
      <x:c r="E86" s="30"/>
      <x:c r="F86" s="30"/>
      <x:c r="G86" s="30"/>
      <x:c r="H86" s="11" t="str">
        <x:v>Yes</x:v>
      </x:c>
    </x:row>
    <x:row r="87">
      <x:c r="A87" s="11" t="str">
        <x:v>Country x year</x:v>
      </x:c>
      <x:c r="B87" s="11" t="str">
        <x:v>Spain / 2013</x:v>
      </x:c>
      <x:c r="C87" s="11" t="str">
        <x:v>mature_by_file_date_proxy</x:v>
      </x:c>
      <x:c r="D87" s="30" t="n">
        <x:v>61</x:v>
      </x:c>
      <x:c r="E87" s="30" t="n">
        <x:v>26</x:v>
      </x:c>
      <x:c r="F87" s="30" t="n">
        <x:v>35</x:v>
      </x:c>
      <x:c r="G87" s="30" t="n">
        <x:v>0</x:v>
      </x:c>
      <x:c r="H87" s="11" t="str">
        <x:v>No</x:v>
      </x:c>
    </x:row>
    <x:row r="88">
      <x:c r="A88" s="11" t="str">
        <x:v>Country x year</x:v>
      </x:c>
      <x:c r="B88" s="11" t="str">
        <x:v>Spain / 2014</x:v>
      </x:c>
      <x:c r="C88" s="11" t="str">
        <x:v>mature_by_file_date_proxy</x:v>
      </x:c>
      <x:c r="D88" s="30" t="n">
        <x:v>2105</x:v>
      </x:c>
      <x:c r="E88" s="30" t="n">
        <x:v>894</x:v>
      </x:c>
      <x:c r="F88" s="30" t="n">
        <x:v>1211</x:v>
      </x:c>
      <x:c r="G88" s="30" t="n">
        <x:v>0</x:v>
      </x:c>
      <x:c r="H88" s="11" t="str">
        <x:v>No</x:v>
      </x:c>
    </x:row>
    <x:row r="89">
      <x:c r="A89" s="11" t="str">
        <x:v>Country x year</x:v>
      </x:c>
      <x:c r="B89" s="11" t="str">
        <x:v>Spain / 2015</x:v>
      </x:c>
      <x:c r="C89" s="11" t="str">
        <x:v>mature_by_file_date_proxy</x:v>
      </x:c>
      <x:c r="D89" s="30" t="n">
        <x:v>4559</x:v>
      </x:c>
      <x:c r="E89" s="30" t="n">
        <x:v>1214</x:v>
      </x:c>
      <x:c r="F89" s="30" t="n">
        <x:v>3345</x:v>
      </x:c>
      <x:c r="G89" s="30" t="n">
        <x:v>0</x:v>
      </x:c>
      <x:c r="H89" s="11" t="str">
        <x:v>No</x:v>
      </x:c>
    </x:row>
    <x:row r="90">
      <x:c r="A90" s="11" t="str">
        <x:v>Country x year</x:v>
      </x:c>
      <x:c r="B90" s="11" t="str">
        <x:v>Spain / 2016</x:v>
      </x:c>
      <x:c r="C90" s="11" t="str">
        <x:v>mature_by_file_date_proxy</x:v>
      </x:c>
      <x:c r="D90" s="30" t="n">
        <x:v>2658</x:v>
      </x:c>
      <x:c r="E90" s="30" t="n">
        <x:v>1685</x:v>
      </x:c>
      <x:c r="F90" s="30" t="n">
        <x:v>973</x:v>
      </x:c>
      <x:c r="G90" s="30" t="n">
        <x:v>0</x:v>
      </x:c>
      <x:c r="H90" s="11" t="str">
        <x:v>No</x:v>
      </x:c>
    </x:row>
    <x:row r="91">
      <x:c r="A91" s="11" t="str">
        <x:v>Country x year</x:v>
      </x:c>
      <x:c r="B91" s="11" t="str">
        <x:v>Spain / 2017</x:v>
      </x:c>
      <x:c r="C91" s="11" t="str">
        <x:v>mature_by_file_date_proxy</x:v>
      </x:c>
      <x:c r="D91" s="30" t="n">
        <x:v>4193</x:v>
      </x:c>
      <x:c r="E91" s="30" t="n">
        <x:v>2743</x:v>
      </x:c>
      <x:c r="F91" s="30" t="n">
        <x:v>1450</x:v>
      </x:c>
      <x:c r="G91" s="30" t="n">
        <x:v>0</x:v>
      </x:c>
      <x:c r="H91" s="11" t="str">
        <x:v>No</x:v>
      </x:c>
    </x:row>
    <x:row r="92">
      <x:c r="A92" s="11" t="str">
        <x:v>Country x year</x:v>
      </x:c>
      <x:c r="B92" s="11" t="str">
        <x:v>Spain / 2018</x:v>
      </x:c>
      <x:c r="C92" s="11" t="str">
        <x:v>mature_by_file_date_proxy</x:v>
      </x:c>
      <x:c r="D92" s="30" t="n">
        <x:v>1641</x:v>
      </x:c>
      <x:c r="E92" s="30" t="n">
        <x:v>678</x:v>
      </x:c>
      <x:c r="F92" s="30" t="n">
        <x:v>963</x:v>
      </x:c>
      <x:c r="G92" s="30" t="n">
        <x:v>0</x:v>
      </x:c>
      <x:c r="H92" s="11" t="str">
        <x:v>No</x:v>
      </x:c>
    </x:row>
    <x:row r="93">
      <x:c r="A93" s="11" t="str">
        <x:v>Country x year</x:v>
      </x:c>
      <x:c r="B93" s="11" t="str">
        <x:v>Spain / 2019</x:v>
      </x:c>
      <x:c r="C93" s="11" t="str">
        <x:v>mature_by_file_date_proxy</x:v>
      </x:c>
      <x:c r="D93" s="30" t="n">
        <x:v>11041</x:v>
      </x:c>
      <x:c r="E93" s="30" t="n">
        <x:v>5831</x:v>
      </x:c>
      <x:c r="F93" s="30" t="n">
        <x:v>5210</x:v>
      </x:c>
      <x:c r="G93" s="30" t="n">
        <x:v>0</x:v>
      </x:c>
      <x:c r="H93" s="11" t="str">
        <x:v>No</x:v>
      </x:c>
    </x:row>
    <x:row r="94">
      <x:c r="A94" s="11" t="str">
        <x:v>Country x year</x:v>
      </x:c>
      <x:c r="B94" s="11" t="str">
        <x:v>Spain / 2020</x:v>
      </x:c>
      <x:c r="C94" s="11" t="str">
        <x:v>mature_by_file_date_proxy</x:v>
      </x:c>
      <x:c r="D94" s="30" t="n">
        <x:v>3043</x:v>
      </x:c>
      <x:c r="E94" s="30" t="n">
        <x:v>1534</x:v>
      </x:c>
      <x:c r="F94" s="30" t="n">
        <x:v>1509</x:v>
      </x:c>
      <x:c r="G94" s="30" t="n">
        <x:v>0</x:v>
      </x:c>
      <x:c r="H94" s="11" t="str">
        <x:v>No</x:v>
      </x:c>
    </x:row>
    <x:row r="95">
      <x:c r="A95" s="11" t="str">
        <x:v>Country x year</x:v>
      </x:c>
      <x:c r="B95" s="11" t="str">
        <x:v>Spain / 2021</x:v>
      </x:c>
      <x:c r="C95" s="11" t="str">
        <x:v>mature_by_file_date_proxy</x:v>
      </x:c>
      <x:c r="D95" s="30" t="n">
        <x:v>146</x:v>
      </x:c>
      <x:c r="E95" s="30" t="n">
        <x:v>45</x:v>
      </x:c>
      <x:c r="F95" s="30" t="n">
        <x:v>101</x:v>
      </x:c>
      <x:c r="G95" s="30" t="n">
        <x:v>0</x:v>
      </x:c>
      <x:c r="H95" s="11" t="str">
        <x:v>No</x:v>
      </x:c>
    </x:row>
    <x:row r="96">
      <x:c r="A96" s="11" t="str">
        <x:v>Country x year</x:v>
      </x:c>
      <x:c r="B96" s="11" t="str">
        <x:v>Spain / 2022</x:v>
      </x:c>
      <x:c r="C96" s="11" t="str">
        <x:v>mature_by_file_date_proxy</x:v>
      </x:c>
      <x:c r="D96" s="30" t="n">
        <x:v>3196</x:v>
      </x:c>
      <x:c r="E96" s="30" t="n">
        <x:v>1349</x:v>
      </x:c>
      <x:c r="F96" s="30" t="n">
        <x:v>1847</x:v>
      </x:c>
      <x:c r="G96" s="30" t="n">
        <x:v>0</x:v>
      </x:c>
      <x:c r="H96" s="11" t="str">
        <x:v>No</x:v>
      </x:c>
    </x:row>
    <x:row r="97">
      <x:c r="A97" s="11" t="str">
        <x:v>Country x year</x:v>
      </x:c>
      <x:c r="B97" s="11" t="str">
        <x:v>Spain / 2023</x:v>
      </x:c>
      <x:c r="C97" s="11" t="str">
        <x:v>mature_by_file_date_proxy</x:v>
      </x:c>
      <x:c r="D97" s="30" t="n">
        <x:v>1578</x:v>
      </x:c>
      <x:c r="E97" s="30" t="n">
        <x:v>672</x:v>
      </x:c>
      <x:c r="F97" s="30" t="n">
        <x:v>906</x:v>
      </x:c>
      <x:c r="G97" s="30" t="n">
        <x:v>0</x:v>
      </x:c>
      <x:c r="H97" s="11" t="str">
        <x:v>No</x:v>
      </x:c>
    </x:row>
  </x:sheetData>
  <x:pageMargins left="0.7" right="0.7" top="0.75" bottom="0.75" header="0.3" footer="0.3"/>
  <x:tableParts count="1">
    <x:tablePart xmlns:r="http://schemas.openxmlformats.org/officeDocument/2006/relationships" r:id="Rb5be4d80acf5479a"/>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6" hidden="0" customWidth="1"/>
    <x:col min="2" max="2" width="125" hidden="0" customWidth="1"/>
  </x:cols>
  <x:sheetData>
    <x:row r="1" ht="32" customHeight="1">
      <x:c r="A1" s="32" t="str">
        <x:v>Item</x:v>
      </x:c>
      <x:c r="B1" s="32" t="str">
        <x:v>Definition / result</x:v>
      </x:c>
    </x:row>
    <x:row r="2" ht="64" customHeight="1">
      <x:c r="A2" s="15" t="str">
        <x:v>Publisher public dataset page</x:v>
      </x:c>
      <x:c r="B2" s="15" t="str">
        <x:v>https://goandgrow.eu/en/public-statistics/</x:v>
      </x:c>
    </x:row>
    <x:row r="3" ht="64" customHeight="1">
      <x:c r="A3" s="15" t="str">
        <x:v>2026 transparency report</x:v>
      </x:c>
      <x:c r="B3" s="15" t="str">
        <x:v>https://goandgrow.eu/en/blog/bondora-loan-portfolio-statistics-2026-a-transparency-report/</x:v>
      </x:c>
    </x:row>
    <x:row r="4" ht="64" customHeight="1">
      <x:c r="A4" s="15" t="str">
        <x:v>Local source snapshot</x:v>
      </x:c>
      <x:c r="B4" s="15" t="str">
        <x:v>SHA-256 a75db03e24747aa8462f6f429b6cbdd2f7010be03da020a4bbd3536c4e1a07bf; 162618206 bytes; 789,144 rows × 31 fields; two sheets.</x:v>
      </x:c>
    </x:row>
    <x:row r="5" ht="64" customHeight="1">
      <x:c r="A5" s="15" t="str">
        <x:v>Publisher Last-Modified proxy</x:v>
      </x:c>
      <x:c r="B5" s="15" t="str">
        <x:v>2026-08-10 (verified by HTTP HEAD on 2026-10-17); not a verified per-loan observation cutoff.</x:v>
      </x:c>
    </x:row>
    <x:row r="6" ht="64" customHeight="1">
      <x:c r="A6" s="15" t="str">
        <x:v>Publisher 12-month label wording</x:v>
      </x:c>
      <x:c r="B6" s="15" t="str">
        <x:v>Boolean: default observed in 12 months on book; NULL when not measurable yet.</x:v>
      </x:c>
    </x:row>
    <x:row r="7" ht="64" customHeight="1">
      <x:c r="A7" s="15" t="str">
        <x:v>Maturity calculation</x:v>
      </x:c>
      <x:c r="B7" s="15" t="str">
        <x:v>Proxy only: loan issue date + 12 calendar months, clamping leap-day anniversaries to Feb 28, compared with 2026-08-10. No outcome values are changed.</x:v>
      </x:c>
    </x:row>
    <x:row r="8" ht="64" customHeight="1">
      <x:c r="A8" s="15" t="str">
        <x:v>Publisher PD12 observation requirement</x:v>
      </x:c>
      <x:c r="B8" s="15" t="str">
        <x:v>The 2026 transparency report says PD12 is the share defaulting within 12 months of issuance and notes a full 12-month observation period is required before cohort reporting. It does not establish this dataset export’s per-loan cutoff or historical label build.</x:v>
      </x:c>
    </x:row>
    <x:row r="9" ht="64" customHeight="1">
      <x:c r="A9" s="15" t="str">
        <x:v>Publisher default definition</x:v>
      </x:c>
      <x:c r="B9" s="15" t="str">
        <x:v>The 2026 transparency report describes default as more than 90 days overdue and the customer contract terminated due to arrears. Do not assume this definition is proven identical for every historical row in this export.</x:v>
      </x:c>
    </x:row>
    <x:row r="10" ht="64" customHeight="1">
      <x:c r="A10" s="15" t="str">
        <x:v>Feature availability</x:v>
      </x:c>
      <x:c r="B10" s="15" t="str">
        <x:v>No feature set selected. Dictionary says customer risk rating is at issue, but requested amount, application decision timestamps, and verified point-in-time income source/availability are absent.</x:v>
      </x:c>
    </x:row>
    <x:row r="11" ht="64" customHeight="1">
      <x:c r="A11" s="15" t="str">
        <x:v>Excluded post-booking fields</x:v>
      </x:c>
      <x:c r="B11" s="15" t="str">
        <x:v>Current status/default, repayment and fee totals, outstanding principal, DPD/default months, last action, next payment, early repayment, projected NPV and other servicing fields are outcomes/after-booking.</x:v>
      </x:c>
    </x:row>
    <x:row r="12" ht="64" customHeight="1">
      <x:c r="A12" s="15" t="str">
        <x:v>Unresolved maturity evidence</x:v>
      </x:c>
      <x:c r="B12" s="15" t="str">
        <x:v>10,860 labels are NULL although issue+12 months precedes the file-date proxy. Of these, 7,996 have no last-action date and 2,864 have a last action before the 12-month anniversary; 0 have a recorded action on/after that anniversary.</x:v>
      </x:c>
    </x:row>
    <x:row r="13" ht="64" customHeight="1">
      <x:c r="A13" s="15" t="str">
        <x:v>Use limits</x:v>
      </x:c>
      <x:c r="B13" s="15" t="str">
        <x:v>No model fit, probability estimate, forecast, imputation, calibration, country ranking or country-level PD was produced. Aggregates are descriptive support counts only.</x:v>
      </x:c>
    </x:row>
    <x:row r="14" ht="64" customHeight="1">
      <x:c r="A14" s="15" t="str">
        <x:v>Rights / visibility</x:v>
      </x:c>
      <x:c r="B14" s="15" t="str">
        <x:v>Aggregate output only. The public download does not itself establish row-level redistribution or commercial reuse rights; keep source workbook and detailed output private pending review.</x:v>
      </x:c>
    </x:row>
  </x:sheetData>
  <x:pageMargins left="0.7" right="0.7" top="0.75" bottom="0.75" header="0.3" footer="0.3"/>
</x:worksheet>
</file>