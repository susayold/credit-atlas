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952a1b0a1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wser selected" sheetId="1" r:id="R701142bae61545b5"/>
    <x:sheet xmlns:r="http://schemas.openxmlformats.org/officeDocument/2006/relationships" name="App One-Year" sheetId="2" r:id="Rdfed85791ce54df7"/>
    <x:sheet xmlns:r="http://schemas.openxmlformats.org/officeDocument/2006/relationships" name="Vintage deltas" sheetId="3" r:id="Re9e7041285db4b4a"/>
    <x:sheet xmlns:r="http://schemas.openxmlformats.org/officeDocument/2006/relationships" name="Dimension parity" sheetId="4" r:id="R2dcef0d3b8d34515"/>
    <x:sheet xmlns:r="http://schemas.openxmlformats.org/officeDocument/2006/relationships" name="Lineage" sheetId="5" r:id="R9e7f38d2a4e74ec5"/>
    <x:sheet xmlns:r="http://schemas.openxmlformats.org/officeDocument/2006/relationships" name="Method &amp; sources" sheetId="6" r:id="R7b7007d315ed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-"/>
    <x:numFmt numFmtId="201" formatCode="0.0000%"/>
    <x:numFmt numFmtId="202" formatCode="0.00000000;(0.00000000);-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FFFFF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be036530a48ca" /><Relationship Type="http://schemas.openxmlformats.org/officeDocument/2006/relationships/theme" Target="/xl/theme/theme1.xml" Id="R3c8948edd1ff4ed4" /><Relationship Type="http://schemas.openxmlformats.org/officeDocument/2006/relationships/sharedStrings" Target="/xl/sharedStrings.xml" Id="R375274ee05fc45aa" /><Relationship Type="http://schemas.openxmlformats.org/officeDocument/2006/relationships/worksheet" Target="/xl/worksheets/sheet1.xml" Id="R701142bae61545b5" /><Relationship Type="http://schemas.openxmlformats.org/officeDocument/2006/relationships/worksheet" Target="/xl/worksheets/sheet2.xml" Id="Rdfed85791ce54df7" /><Relationship Type="http://schemas.openxmlformats.org/officeDocument/2006/relationships/worksheet" Target="/xl/worksheets/sheet3.xml" Id="Re9e7041285db4b4a" /><Relationship Type="http://schemas.openxmlformats.org/officeDocument/2006/relationships/worksheet" Target="/xl/worksheets/sheet4.xml" Id="R2dcef0d3b8d34515" /><Relationship Type="http://schemas.openxmlformats.org/officeDocument/2006/relationships/worksheet" Target="/xl/worksheets/sheet5.xml" Id="R9e7f38d2a4e74ec5" /><Relationship Type="http://schemas.openxmlformats.org/officeDocument/2006/relationships/worksheet" Target="/xl/worksheets/sheet6.xml" Id="R7b7007d315ed4d95" /></Relationships>
</file>

<file path=xl/tables/table1.xml><?xml version="1.0" encoding="utf-8"?>
<x:table xmlns:x="http://schemas.openxmlformats.org/spreadsheetml/2006/main" id="1" name="HmdaBrowserSelectedReleaseCounts" displayName="HmdaBrowserSelectedReleaseCounts" ref="A4:O12" headerRowCount="1" totalsRowCount="0" totalsRowShown="0">
  <x:tableColumns count="15">
    <x:tableColumn id="1" name="Activity year"/>
    <x:tableColumn id="2" name="Browser release"/>
    <x:tableColumn id="3" name="Freeze date"/>
    <x:tableColumn id="4" name="Action 1"/>
    <x:tableColumn id="5" name="Action 2"/>
    <x:tableColumn id="6" name="Action 3"/>
    <x:tableColumn id="7" name="Action 4"/>
    <x:tableColumn id="8" name="Action 5"/>
    <x:tableColumn id="9" name="Action 6"/>
    <x:tableColumn id="10" name="Action 7"/>
    <x:tableColumn id="11" name="Action 8"/>
    <x:tableColumn id="12" name="Total actions 1–8"/>
    <x:tableColumn id="13" name="Decisions 1+2+3"/>
    <x:tableColumn id="14" name="Denied · 3"/>
    <x:tableColumn id="15" name="Denied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mdaAppOneYearArchiveCounts" displayName="HmdaAppOneYearArchiveCounts" ref="A4:O10" headerRowCount="1" totalsRowCount="0" totalsRowShown="0">
  <x:tableColumns count="15">
    <x:tableColumn id="1" name="Activity year"/>
    <x:tableColumn id="2" name="App archive"/>
    <x:tableColumn id="3" name="Freeze date"/>
    <x:tableColumn id="4" name="Action 1"/>
    <x:tableColumn id="5" name="Action 2"/>
    <x:tableColumn id="6" name="Action 3"/>
    <x:tableColumn id="7" name="Action 4"/>
    <x:tableColumn id="8" name="Action 5"/>
    <x:tableColumn id="9" name="Action 6"/>
    <x:tableColumn id="10" name="Action 7"/>
    <x:tableColumn id="11" name="Action 8"/>
    <x:tableColumn id="12" name="Total actions 1–8"/>
    <x:tableColumn id="13" name="Decisions 1+2+3"/>
    <x:tableColumn id="14" name="Denied · 3"/>
    <x:tableColumn id="15" name="Denied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mdaCrossVintageDeltaSummary" displayName="HmdaCrossVintageDeltaSummary" ref="A4:O8" headerRowCount="1" totalsRowCount="0" totalsRowShown="0">
  <x:tableColumns count="15">
    <x:tableColumn id="1" name="Year"/>
    <x:tableColumn id="2" name="Browser release"/>
    <x:tableColumn id="3" name="App archive"/>
    <x:tableColumn id="4" name="Δ action 1"/>
    <x:tableColumn id="5" name="Δ action 2"/>
    <x:tableColumn id="6" name="Δ action 3"/>
    <x:tableColumn id="7" name="Δ action 4"/>
    <x:tableColumn id="8" name="Δ action 5"/>
    <x:tableColumn id="9" name="Δ action 6"/>
    <x:tableColumn id="10" name="Δ action 7"/>
    <x:tableColumn id="11" name="Δ action 8"/>
    <x:tableColumn id="12" name="Δ total actions"/>
    <x:tableColumn id="13" name="Δ decisions 1–3"/>
    <x:tableColumn id="14" name="Δ denied · 3"/>
    <x:tableColumn id="15" name="Δ denied share · p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mdaFilteredDimensionApiParity" displayName="HmdaFilteredDimensionApiParity" ref="A4:O9" headerRowCount="1" totalsRowCount="0" totalsRowShown="0">
  <x:tableColumns count="15">
    <x:tableColumn id="1" name="Scope"/>
    <x:tableColumn id="2" name="Official filter"/>
    <x:tableColumn id="3" name="API rows 1–8"/>
    <x:tableColumn id="4" name="Local rows 1–8"/>
    <x:tableColumn id="5" name="API decisions 1+2+3"/>
    <x:tableColumn id="6" name="Local decisions 1+2+3"/>
    <x:tableColumn id="7" name="API denied · 3"/>
    <x:tableColumn id="8" name="Local denied · 3"/>
    <x:tableColumn id="9" name="API denied share"/>
    <x:tableColumn id="10" name="Local denied share"/>
    <x:tableColumn id="11" name="Δ share · pp"/>
    <x:tableColumn id="12" name="Local raw match"/>
    <x:tableColumn id="13" name="API filter echo"/>
    <x:tableColumn id="14" name="App match"/>
    <x:tableColumn id="15" name="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mdaReleaseApiLineage" displayName="HmdaReleaseApiLineage" ref="A4:G12" headerRowCount="1" totalsRowCount="0" totalsRowShown="0">
  <x:tableColumns count="7">
    <x:tableColumn id="1" name="Activity year"/>
    <x:tableColumn id="2" name="Browser product"/>
    <x:tableColumn id="3" name="Freeze"/>
    <x:tableColumn id="4" name="App source ID"/>
    <x:tableColumn id="5" name="Local source receipt SHA-256"/>
    <x:tableColumn id="6" name="Official API request"/>
    <x:tableColumn id="7" name="API response SHA-25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mdaAuditMethodNotes" displayName="HmdaAuditMethodNotes" ref="A3:D18" headerRowCount="1" totalsRowCount="0" totalsRowShown="0">
  <x:tableColumns count="4">
    <x:tableColumn id="1" name="Item"/>
    <x:tableColumn id="2" name="Definition / value"/>
    <x:tableColumn id="3" name="Official source / eviden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c0d32b46d4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2e9525ca45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6c48d796aa46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9b255c9c4048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cc02ed471645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496fd65fac4e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4" t="str">
        <x:v>CreditAtlas · HMDA Browser-selected releases 2018–2025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2" customHeight="1">
      <x:c r="A2" s="7" t="str">
        <x:v>Official nationwide API action counts by activity year. Denied share is an application-disposition measure, not repayment/default PD. One row per annual release; do not sum years as unique applications.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8" customHeight="1">
      <x:c r="A4" s="10" t="str">
        <x:v>Activity year</x:v>
      </x:c>
      <x:c r="B4" s="10" t="str">
        <x:v>Browser release</x:v>
      </x:c>
      <x:c r="C4" s="10" t="str">
        <x:v>Freeze date</x:v>
      </x:c>
      <x:c r="D4" s="10" t="str">
        <x:v>Action 1</x:v>
      </x:c>
      <x:c r="E4" s="10" t="str">
        <x:v>Action 2</x:v>
      </x:c>
      <x:c r="F4" s="10" t="str">
        <x:v>Action 3</x:v>
      </x:c>
      <x:c r="G4" s="10" t="str">
        <x:v>Action 4</x:v>
      </x:c>
      <x:c r="H4" s="10" t="str">
        <x:v>Action 5</x:v>
      </x:c>
      <x:c r="I4" s="10" t="str">
        <x:v>Action 6</x:v>
      </x:c>
      <x:c r="J4" s="10" t="str">
        <x:v>Action 7</x:v>
      </x:c>
      <x:c r="K4" s="10" t="str">
        <x:v>Action 8</x:v>
      </x:c>
      <x:c r="L4" s="10" t="str">
        <x:v>Total actions 1–8</x:v>
      </x:c>
      <x:c r="M4" s="10" t="str">
        <x:v>Decisions 1+2+3</x:v>
      </x:c>
      <x:c r="N4" s="10" t="str">
        <x:v>Denied · 3</x:v>
      </x:c>
      <x:c r="O4" s="10" t="str">
        <x:v>Denied share</x:v>
      </x:c>
    </x:row>
    <x:row r="5" ht="27" customHeight="1">
      <x:c r="A5" s="2" t="n">
        <x:v>2018</x:v>
      </x:c>
      <x:c r="B5" s="2" t="str">
        <x:v>Three-Year</x:v>
      </x:c>
      <x:c r="C5" s="2" t="str">
        <x:v>2021-12-31</x:v>
      </x:c>
      <x:c r="D5" s="11" t="n">
        <x:v>7732289</x:v>
      </x:c>
      <x:c r="E5" s="11" t="n">
        <x:v>338822</x:v>
      </x:c>
      <x:c r="F5" s="11" t="n">
        <x:v>2552640</x:v>
      </x:c>
      <x:c r="G5" s="11" t="n">
        <x:v>1771582</x:v>
      </x:c>
      <x:c r="H5" s="11" t="n">
        <x:v>554481</x:v>
      </x:c>
      <x:c r="I5" s="11" t="n">
        <x:v>2012221</x:v>
      </x:c>
      <x:c r="J5" s="11" t="n">
        <x:v>101772</x:v>
      </x:c>
      <x:c r="K5" s="11" t="n">
        <x:v>74703</x:v>
      </x:c>
      <x:c r="L5" s="11" t="n">
        <x:f>SUM(D5:K5)</x:f>
        <x:v>15138510</x:v>
      </x:c>
      <x:c r="M5" s="11" t="n">
        <x:f>SUM(D5:F5)</x:f>
        <x:v>10623751</x:v>
      </x:c>
      <x:c r="N5" s="11" t="n">
        <x:f>F5</x:f>
        <x:v>2552640</x:v>
      </x:c>
      <x:c r="O5" s="12" t="n">
        <x:f>IFERROR(N5/M5,0)</x:f>
        <x:v>0.2402767158228765</x:v>
      </x:c>
    </x:row>
    <x:row r="6" ht="27" customHeight="1">
      <x:c r="A6" s="2" t="n">
        <x:v>2019</x:v>
      </x:c>
      <x:c r="B6" s="2" t="str">
        <x:v>Three-Year</x:v>
      </x:c>
      <x:c r="C6" s="2" t="str">
        <x:v>2022-12-31</x:v>
      </x:c>
      <x:c r="D6" s="11" t="n">
        <x:v>9344813</x:v>
      </x:c>
      <x:c r="E6" s="11" t="n">
        <x:v>401762</x:v>
      </x:c>
      <x:c r="F6" s="11" t="n">
        <x:v>2536776</x:v>
      </x:c>
      <x:c r="G6" s="11" t="n">
        <x:v>2146690</x:v>
      </x:c>
      <x:c r="H6" s="11" t="n">
        <x:v>720712</x:v>
      </x:c>
      <x:c r="I6" s="11" t="n">
        <x:v>2272958</x:v>
      </x:c>
      <x:c r="J6" s="11" t="n">
        <x:v>76609</x:v>
      </x:c>
      <x:c r="K6" s="11" t="n">
        <x:v>73643</x:v>
      </x:c>
      <x:c r="L6" s="11" t="n">
        <x:f>SUM(D6:K6)</x:f>
        <x:v>17573963</x:v>
      </x:c>
      <x:c r="M6" s="11" t="n">
        <x:f>SUM(D6:F6)</x:f>
        <x:v>12283351</x:v>
      </x:c>
      <x:c r="N6" s="11" t="n">
        <x:f>F6</x:f>
        <x:v>2536776</x:v>
      </x:c>
      <x:c r="O6" s="12" t="n">
        <x:f>IFERROR(N6/M6,0)</x:f>
        <x:v>0.20652149401250522</x:v>
      </x:c>
    </x:row>
    <x:row r="7" ht="27" customHeight="1">
      <x:c r="A7" s="2" t="n">
        <x:v>2020</x:v>
      </x:c>
      <x:c r="B7" s="2" t="str">
        <x:v>Three-Year</x:v>
      </x:c>
      <x:c r="C7" s="2" t="str">
        <x:v>2023-12-31</x:v>
      </x:c>
      <x:c r="D7" s="11" t="n">
        <x:v>14637334</x:v>
      </x:c>
      <x:c r="E7" s="11" t="n">
        <x:v>660757</x:v>
      </x:c>
      <x:c r="F7" s="11" t="n">
        <x:v>2886263</x:v>
      </x:c>
      <x:c r="G7" s="11" t="n">
        <x:v>3360047</x:v>
      </x:c>
      <x:c r="H7" s="11" t="n">
        <x:v>1248380</x:v>
      </x:c>
      <x:c r="I7" s="11" t="n">
        <x:v>2778730</x:v>
      </x:c>
      <x:c r="J7" s="11" t="n">
        <x:v>57561</x:v>
      </x:c>
      <x:c r="K7" s="11" t="n">
        <x:v>69971</x:v>
      </x:c>
      <x:c r="L7" s="11" t="n">
        <x:f>SUM(D7:K7)</x:f>
        <x:v>25699043</x:v>
      </x:c>
      <x:c r="M7" s="11" t="n">
        <x:f>SUM(D7:F7)</x:f>
        <x:v>18184354</x:v>
      </x:c>
      <x:c r="N7" s="11" t="n">
        <x:f>F7</x:f>
        <x:v>2886263</x:v>
      </x:c>
      <x:c r="O7" s="12" t="n">
        <x:f>IFERROR(N7/M7,0)</x:f>
        <x:v>0.15872232799691427</x:v>
      </x:c>
    </x:row>
    <x:row r="8" ht="27" customHeight="1">
      <x:c r="A8" s="2" t="n">
        <x:v>2021</x:v>
      </x:c>
      <x:c r="B8" s="2" t="str">
        <x:v>Three-Year</x:v>
      </x:c>
      <x:c r="C8" s="2" t="str">
        <x:v>2024-12-31</x:v>
      </x:c>
      <x:c r="D8" s="11" t="n">
        <x:v>15091528</x:v>
      </x:c>
      <x:c r="E8" s="11" t="n">
        <x:v>633595</x:v>
      </x:c>
      <x:c r="F8" s="11" t="n">
        <x:v>2950191</x:v>
      </x:c>
      <x:c r="G8" s="11" t="n">
        <x:v>3341816</x:v>
      </x:c>
      <x:c r="H8" s="11" t="n">
        <x:v>1404858</x:v>
      </x:c>
      <x:c r="I8" s="11" t="n">
        <x:v>2700264</x:v>
      </x:c>
      <x:c r="J8" s="11" t="n">
        <x:v>52773</x:v>
      </x:c>
      <x:c r="K8" s="11" t="n">
        <x:v>94955</x:v>
      </x:c>
      <x:c r="L8" s="11" t="n">
        <x:f>SUM(D8:K8)</x:f>
        <x:v>26269980</x:v>
      </x:c>
      <x:c r="M8" s="11" t="n">
        <x:f>SUM(D8:F8)</x:f>
        <x:v>18675314</x:v>
      </x:c>
      <x:c r="N8" s="11" t="n">
        <x:f>F8</x:f>
        <x:v>2950191</x:v>
      </x:c>
      <x:c r="O8" s="12" t="n">
        <x:f>IFERROR(N8/M8,0)</x:f>
        <x:v>0.15797276554493273</x:v>
      </x:c>
    </x:row>
    <x:row r="9" ht="27" customHeight="1">
      <x:c r="A9" s="2" t="n">
        <x:v>2022</x:v>
      </x:c>
      <x:c r="B9" s="2" t="str">
        <x:v>Three-Year</x:v>
      </x:c>
      <x:c r="C9" s="2" t="str">
        <x:v>2025-12-31</x:v>
      </x:c>
      <x:c r="D9" s="11" t="n">
        <x:v>8416071</x:v>
      </x:c>
      <x:c r="E9" s="11" t="n">
        <x:v>420518</x:v>
      </x:c>
      <x:c r="F9" s="11" t="n">
        <x:v>2525024</x:v>
      </x:c>
      <x:c r="G9" s="11" t="n">
        <x:v>2233245</x:v>
      </x:c>
      <x:c r="H9" s="11" t="n">
        <x:v>747635</x:v>
      </x:c>
      <x:c r="I9" s="11" t="n">
        <x:v>1572452</x:v>
      </x:c>
      <x:c r="J9" s="11" t="n">
        <x:v>74275</x:v>
      </x:c>
      <x:c r="K9" s="11" t="n">
        <x:v>136755</x:v>
      </x:c>
      <x:c r="L9" s="11" t="n">
        <x:f>SUM(D9:K9)</x:f>
        <x:v>16125975</x:v>
      </x:c>
      <x:c r="M9" s="11" t="n">
        <x:f>SUM(D9:F9)</x:f>
        <x:v>11361613</x:v>
      </x:c>
      <x:c r="N9" s="11" t="n">
        <x:f>F9</x:f>
        <x:v>2525024</x:v>
      </x:c>
      <x:c r="O9" s="12" t="n">
        <x:f>IFERROR(N9/M9,0)</x:f>
        <x:v>0.22224168346519108</x:v>
      </x:c>
    </x:row>
    <x:row r="10" ht="27" customHeight="1">
      <x:c r="A10" s="2" t="n">
        <x:v>2023</x:v>
      </x:c>
      <x:c r="B10" s="2" t="str">
        <x:v>One-Year</x:v>
      </x:c>
      <x:c r="C10" s="2" t="str">
        <x:v>2025-05-19</x:v>
      </x:c>
      <x:c r="D10" s="11" t="n">
        <x:v>5710399</x:v>
      </x:c>
      <x:c r="E10" s="11" t="n">
        <x:v>310898</x:v>
      </x:c>
      <x:c r="F10" s="11" t="n">
        <x:v>2037094</x:v>
      </x:c>
      <x:c r="G10" s="11" t="n">
        <x:v>1468108</x:v>
      </x:c>
      <x:c r="H10" s="11" t="n">
        <x:v>536137</x:v>
      </x:c>
      <x:c r="I10" s="11" t="n">
        <x:v>1263097</x:v>
      </x:c>
      <x:c r="J10" s="11" t="n">
        <x:v>62622</x:v>
      </x:c>
      <x:c r="K10" s="11" t="n">
        <x:v>175823</x:v>
      </x:c>
      <x:c r="L10" s="11" t="n">
        <x:f>SUM(D10:K10)</x:f>
        <x:v>11564178</x:v>
      </x:c>
      <x:c r="M10" s="11" t="n">
        <x:f>SUM(D10:F10)</x:f>
        <x:v>8058391</x:v>
      </x:c>
      <x:c r="N10" s="11" t="n">
        <x:f>F10</x:f>
        <x:v>2037094</x:v>
      </x:c>
      <x:c r="O10" s="12" t="n">
        <x:f>IFERROR(N10/M10,0)</x:f>
        <x:v>0.25279165530687203</x:v>
      </x:c>
    </x:row>
    <x:row r="11" ht="27" customHeight="1">
      <x:c r="A11" s="2" t="n">
        <x:v>2024</x:v>
      </x:c>
      <x:c r="B11" s="2" t="str">
        <x:v>One-Year</x:v>
      </x:c>
      <x:c r="C11" s="2" t="str">
        <x:v>2026-06-02</x:v>
      </x:c>
      <x:c r="D11" s="11" t="n">
        <x:v>6197085</x:v>
      </x:c>
      <x:c r="E11" s="11" t="n">
        <x:v>361232</x:v>
      </x:c>
      <x:c r="F11" s="11" t="n">
        <x:v>2103462</x:v>
      </x:c>
      <x:c r="G11" s="11" t="n">
        <x:v>1538273</x:v>
      </x:c>
      <x:c r="H11" s="11" t="n">
        <x:v>581940</x:v>
      </x:c>
      <x:c r="I11" s="11" t="n">
        <x:v>1276504</x:v>
      </x:c>
      <x:c r="J11" s="11" t="n">
        <x:v>47312</x:v>
      </x:c>
      <x:c r="K11" s="11" t="n">
        <x:v>153391</x:v>
      </x:c>
      <x:c r="L11" s="11" t="n">
        <x:f>SUM(D11:K11)</x:f>
        <x:v>12259199</x:v>
      </x:c>
      <x:c r="M11" s="11" t="n">
        <x:f>SUM(D11:F11)</x:f>
        <x:v>8661779</x:v>
      </x:c>
      <x:c r="N11" s="11" t="n">
        <x:f>F11</x:f>
        <x:v>2103462</x:v>
      </x:c>
      <x:c r="O11" s="12" t="n">
        <x:f>IFERROR(N11/M11,0)</x:f>
        <x:v>0.24284410858323677</x:v>
      </x:c>
    </x:row>
    <x:row r="12" ht="27" customHeight="1">
      <x:c r="A12" s="2" t="n">
        <x:v>2025</x:v>
      </x:c>
      <x:c r="B12" s="2" t="str">
        <x:v>Snapshot</x:v>
      </x:c>
      <x:c r="C12" s="2" t="str">
        <x:v>2026-06-02</x:v>
      </x:c>
      <x:c r="D12" s="11" t="n">
        <x:v>6827891</x:v>
      </x:c>
      <x:c r="E12" s="11" t="n">
        <x:v>417961</x:v>
      </x:c>
      <x:c r="F12" s="11" t="n">
        <x:v>2115090</x:v>
      </x:c>
      <x:c r="G12" s="11" t="n">
        <x:v>1710723</x:v>
      </x:c>
      <x:c r="H12" s="11" t="n">
        <x:v>695006</x:v>
      </x:c>
      <x:c r="I12" s="11" t="n">
        <x:v>1578064</x:v>
      </x:c>
      <x:c r="J12" s="11" t="n">
        <x:v>50499</x:v>
      </x:c>
      <x:c r="K12" s="11" t="n">
        <x:v>148372</x:v>
      </x:c>
      <x:c r="L12" s="11" t="n">
        <x:f>SUM(D12:K12)</x:f>
        <x:v>13543606</x:v>
      </x:c>
      <x:c r="M12" s="11" t="n">
        <x:f>SUM(D12:F12)</x:f>
        <x:v>9360942</x:v>
      </x:c>
      <x:c r="N12" s="11" t="n">
        <x:f>F12</x:f>
        <x:v>2115090</x:v>
      </x:c>
      <x:c r="O12" s="12" t="n">
        <x:f>IFERROR(N12/M12,0)</x:f>
        <x:v>0.22594841416601022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52" customHeight="1">
      <x:c r="A15" s="7" t="str">
        <x:v>Observed time series across years still mixes Three-Year, One-Year and Snapshot release windows, with changing coverage and product/geography mix. Use release labels and freeze dates in every comparison; do not treat rate movement as causal or as borrower performance.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</x:row>
    <x:row r="16" ht="52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</x:sheetData>
  <x:mergeCells>
    <x:mergeCell ref="A1:O1"/>
    <x:mergeCell ref="A2:O2"/>
    <x:mergeCell ref="A15:O16"/>
  </x:mergeCells>
  <x:pageMargins left="0.7" right="0.7" top="0.75" bottom="0.75" header="0.3" footer="0.3"/>
  <x:tableParts count="1">
    <x:tablePart xmlns:r="http://schemas.openxmlformats.org/officeDocument/2006/relationships" r:id="R11c0d32b46d44e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4" t="str">
        <x:v>CreditAtlas · Stored One-Year archives 2019–2024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2" customHeight="1">
      <x:c r="A2" s="7" t="str">
        <x:v>Counts are read from verified private acquisition receipt profiles. Raw LAR files remain on D:. 2019 has the publisher caveat that its One-Year vintage includes more than 12 months of updates.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8" customHeight="1">
      <x:c r="A4" s="10" t="str">
        <x:v>Activity year</x:v>
      </x:c>
      <x:c r="B4" s="10" t="str">
        <x:v>App archive</x:v>
      </x:c>
      <x:c r="C4" s="10" t="str">
        <x:v>Freeze date</x:v>
      </x:c>
      <x:c r="D4" s="10" t="str">
        <x:v>Action 1</x:v>
      </x:c>
      <x:c r="E4" s="10" t="str">
        <x:v>Action 2</x:v>
      </x:c>
      <x:c r="F4" s="10" t="str">
        <x:v>Action 3</x:v>
      </x:c>
      <x:c r="G4" s="10" t="str">
        <x:v>Action 4</x:v>
      </x:c>
      <x:c r="H4" s="10" t="str">
        <x:v>Action 5</x:v>
      </x:c>
      <x:c r="I4" s="10" t="str">
        <x:v>Action 6</x:v>
      </x:c>
      <x:c r="J4" s="10" t="str">
        <x:v>Action 7</x:v>
      </x:c>
      <x:c r="K4" s="10" t="str">
        <x:v>Action 8</x:v>
      </x:c>
      <x:c r="L4" s="10" t="str">
        <x:v>Total actions 1–8</x:v>
      </x:c>
      <x:c r="M4" s="10" t="str">
        <x:v>Decisions 1+2+3</x:v>
      </x:c>
      <x:c r="N4" s="10" t="str">
        <x:v>Denied · 3</x:v>
      </x:c>
      <x:c r="O4" s="10" t="str">
        <x:v>Denied share</x:v>
      </x:c>
    </x:row>
    <x:row r="5" ht="27" customHeight="1">
      <x:c r="A5" s="2" t="n">
        <x:v>2019</x:v>
      </x:c>
      <x:c r="B5" s="2" t="str">
        <x:v>One-Year</x:v>
      </x:c>
      <x:c r="C5" s="2" t="str">
        <x:v>2022-04-05</x:v>
      </x:c>
      <x:c r="D5" s="11" t="n">
        <x:v>9340568</x:v>
      </x:c>
      <x:c r="E5" s="11" t="n">
        <x:v>404421</x:v>
      </x:c>
      <x:c r="F5" s="11" t="n">
        <x:v>2535710</x:v>
      </x:c>
      <x:c r="G5" s="11" t="n">
        <x:v>2146140</x:v>
      </x:c>
      <x:c r="H5" s="11" t="n">
        <x:v>718782</x:v>
      </x:c>
      <x:c r="I5" s="11" t="n">
        <x:v>2267336</x:v>
      </x:c>
      <x:c r="J5" s="11" t="n">
        <x:v>76605</x:v>
      </x:c>
      <x:c r="K5" s="11" t="n">
        <x:v>73638</x:v>
      </x:c>
      <x:c r="L5" s="11" t="n">
        <x:f>SUM(D5:K5)</x:f>
        <x:v>17563200</x:v>
      </x:c>
      <x:c r="M5" s="11" t="n">
        <x:f>SUM(D5:F5)</x:f>
        <x:v>12280699</x:v>
      </x:c>
      <x:c r="N5" s="11" t="n">
        <x:f>F5</x:f>
        <x:v>2535710</x:v>
      </x:c>
      <x:c r="O5" s="12" t="n">
        <x:f>IFERROR(N5/M5,0)</x:f>
        <x:v>0.20647928916749772</x:v>
      </x:c>
    </x:row>
    <x:row r="6" ht="27" customHeight="1">
      <x:c r="A6" s="2" t="n">
        <x:v>2020</x:v>
      </x:c>
      <x:c r="B6" s="2" t="str">
        <x:v>One-Year</x:v>
      </x:c>
      <x:c r="C6" s="2" t="str">
        <x:v>2022-04-30</x:v>
      </x:c>
      <x:c r="D6" s="11" t="n">
        <x:v>14629575</x:v>
      </x:c>
      <x:c r="E6" s="11" t="n">
        <x:v>624446</x:v>
      </x:c>
      <x:c r="F6" s="11" t="n">
        <x:v>2880243</x:v>
      </x:c>
      <x:c r="G6" s="11" t="n">
        <x:v>3403483</x:v>
      </x:c>
      <x:c r="H6" s="11" t="n">
        <x:v>1243387</x:v>
      </x:c>
      <x:c r="I6" s="11" t="n">
        <x:v>2758274</x:v>
      </x:c>
      <x:c r="J6" s="11" t="n">
        <x:v>57569</x:v>
      </x:c>
      <x:c r="K6" s="11" t="n">
        <x:v>69768</x:v>
      </x:c>
      <x:c r="L6" s="11" t="n">
        <x:f>SUM(D6:K6)</x:f>
        <x:v>25666745</x:v>
      </x:c>
      <x:c r="M6" s="11" t="n">
        <x:f>SUM(D6:F6)</x:f>
        <x:v>18134264</x:v>
      </x:c>
      <x:c r="N6" s="11" t="n">
        <x:f>F6</x:f>
        <x:v>2880243</x:v>
      </x:c>
      <x:c r="O6" s="12" t="n">
        <x:f>IFERROR(N6/M6,0)</x:f>
        <x:v>0.15882877849357438</x:v>
      </x:c>
    </x:row>
    <x:row r="7" ht="27" customHeight="1">
      <x:c r="A7" s="2" t="n">
        <x:v>2021</x:v>
      </x:c>
      <x:c r="B7" s="2" t="str">
        <x:v>One-Year</x:v>
      </x:c>
      <x:c r="C7" s="2" t="str">
        <x:v>2023-05-01</x:v>
      </x:c>
      <x:c r="D7" s="11" t="n">
        <x:v>15062966</x:v>
      </x:c>
      <x:c r="E7" s="11" t="n">
        <x:v>634932</x:v>
      </x:c>
      <x:c r="F7" s="11" t="n">
        <x:v>2922414</x:v>
      </x:c>
      <x:c r="G7" s="11" t="n">
        <x:v>3313356</x:v>
      </x:c>
      <x:c r="H7" s="11" t="n">
        <x:v>1452022</x:v>
      </x:c>
      <x:c r="I7" s="11" t="n">
        <x:v>2691964</x:v>
      </x:c>
      <x:c r="J7" s="11" t="n">
        <x:v>53506</x:v>
      </x:c>
      <x:c r="K7" s="11" t="n">
        <x:v>96204</x:v>
      </x:c>
      <x:c r="L7" s="11" t="n">
        <x:f>SUM(D7:K7)</x:f>
        <x:v>26227364</x:v>
      </x:c>
      <x:c r="M7" s="11" t="n">
        <x:f>SUM(D7:F7)</x:f>
        <x:v>18620312</x:v>
      </x:c>
      <x:c r="N7" s="11" t="n">
        <x:f>F7</x:f>
        <x:v>2922414</x:v>
      </x:c>
      <x:c r="O7" s="12" t="n">
        <x:f>IFERROR(N7/M7,0)</x:f>
        <x:v>0.15694763868618314</x:v>
      </x:c>
    </x:row>
    <x:row r="8" ht="27" customHeight="1">
      <x:c r="A8" s="2" t="n">
        <x:v>2022</x:v>
      </x:c>
      <x:c r="B8" s="2" t="str">
        <x:v>One-Year</x:v>
      </x:c>
      <x:c r="C8" s="2" t="str">
        <x:v>2024-05-01</x:v>
      </x:c>
      <x:c r="D8" s="11" t="n">
        <x:v>8406350</x:v>
      </x:c>
      <x:c r="E8" s="11" t="n">
        <x:v>417122</x:v>
      </x:c>
      <x:c r="F8" s="11" t="n">
        <x:v>2500211</x:v>
      </x:c>
      <x:c r="G8" s="11" t="n">
        <x:v>2224475</x:v>
      </x:c>
      <x:c r="H8" s="11" t="n">
        <x:v>791864</x:v>
      </x:c>
      <x:c r="I8" s="11" t="n">
        <x:v>1559011</x:v>
      </x:c>
      <x:c r="J8" s="11" t="n">
        <x:v>71850</x:v>
      </x:c>
      <x:c r="K8" s="11" t="n">
        <x:v>128424</x:v>
      </x:c>
      <x:c r="L8" s="11" t="n">
        <x:f>SUM(D8:K8)</x:f>
        <x:v>16099307</x:v>
      </x:c>
      <x:c r="M8" s="11" t="n">
        <x:f>SUM(D8:F8)</x:f>
        <x:v>11323683</x:v>
      </x:c>
      <x:c r="N8" s="11" t="n">
        <x:f>F8</x:f>
        <x:v>2500211</x:v>
      </x:c>
      <x:c r="O8" s="12" t="n">
        <x:f>IFERROR(N8/M8,0)</x:f>
        <x:v>0.22079485976426574</x:v>
      </x:c>
    </x:row>
    <x:row r="9" ht="27" customHeight="1">
      <x:c r="A9" s="2" t="n">
        <x:v>2023</x:v>
      </x:c>
      <x:c r="B9" s="2" t="str">
        <x:v>One-Year</x:v>
      </x:c>
      <x:c r="C9" s="2" t="str">
        <x:v>2025-05-19</x:v>
      </x:c>
      <x:c r="D9" s="11" t="n">
        <x:v>5710399</x:v>
      </x:c>
      <x:c r="E9" s="11" t="n">
        <x:v>310898</x:v>
      </x:c>
      <x:c r="F9" s="11" t="n">
        <x:v>2037094</x:v>
      </x:c>
      <x:c r="G9" s="11" t="n">
        <x:v>1468108</x:v>
      </x:c>
      <x:c r="H9" s="11" t="n">
        <x:v>536137</x:v>
      </x:c>
      <x:c r="I9" s="11" t="n">
        <x:v>1263097</x:v>
      </x:c>
      <x:c r="J9" s="11" t="n">
        <x:v>62622</x:v>
      </x:c>
      <x:c r="K9" s="11" t="n">
        <x:v>175823</x:v>
      </x:c>
      <x:c r="L9" s="11" t="n">
        <x:f>SUM(D9:K9)</x:f>
        <x:v>11564178</x:v>
      </x:c>
      <x:c r="M9" s="11" t="n">
        <x:f>SUM(D9:F9)</x:f>
        <x:v>8058391</x:v>
      </x:c>
      <x:c r="N9" s="11" t="n">
        <x:f>F9</x:f>
        <x:v>2037094</x:v>
      </x:c>
      <x:c r="O9" s="12" t="n">
        <x:f>IFERROR(N9/M9,0)</x:f>
        <x:v>0.25279165530687203</x:v>
      </x:c>
    </x:row>
    <x:row r="10" ht="27" customHeight="1">
      <x:c r="A10" s="2" t="n">
        <x:v>2024</x:v>
      </x:c>
      <x:c r="B10" s="2" t="str">
        <x:v>One-Year</x:v>
      </x:c>
      <x:c r="C10" s="2" t="str">
        <x:v>2026-06-02</x:v>
      </x:c>
      <x:c r="D10" s="11" t="n">
        <x:v>6197085</x:v>
      </x:c>
      <x:c r="E10" s="11" t="n">
        <x:v>361232</x:v>
      </x:c>
      <x:c r="F10" s="11" t="n">
        <x:v>2103462</x:v>
      </x:c>
      <x:c r="G10" s="11" t="n">
        <x:v>1538273</x:v>
      </x:c>
      <x:c r="H10" s="11" t="n">
        <x:v>581940</x:v>
      </x:c>
      <x:c r="I10" s="11" t="n">
        <x:v>1276504</x:v>
      </x:c>
      <x:c r="J10" s="11" t="n">
        <x:v>47312</x:v>
      </x:c>
      <x:c r="K10" s="11" t="n">
        <x:v>153391</x:v>
      </x:c>
      <x:c r="L10" s="11" t="n">
        <x:f>SUM(D10:K10)</x:f>
        <x:v>12259199</x:v>
      </x:c>
      <x:c r="M10" s="11" t="n">
        <x:f>SUM(D10:F10)</x:f>
        <x:v>8661779</x:v>
      </x:c>
      <x:c r="N10" s="11" t="n">
        <x:f>F10</x:f>
        <x:v>2103462</x:v>
      </x:c>
      <x:c r="O10" s="12" t="n">
        <x:f>IFERROR(N10/M10,0)</x:f>
        <x:v>0.24284410858323677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48" customHeight="1">
      <x:c r="A13" s="7" t="str">
        <x:v>2019–2022 app archives are intentionally not substituted for the current Browser-selected Three-Year releases. 2023–2024 One-Year archives match the Browser product/freeze and their action profiles reconcile exactly.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</x:row>
    <x:row r="14" ht="48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</x:sheetData>
  <x:mergeCells>
    <x:mergeCell ref="A1:O1"/>
    <x:mergeCell ref="A2:O2"/>
    <x:mergeCell ref="A13:O14"/>
  </x:mergeCells>
  <x:pageMargins left="0.7" right="0.7" top="0.75" bottom="0.75" header="0.3" footer="0.3"/>
  <x:tableParts count="1">
    <x:tablePart xmlns:r="http://schemas.openxmlformats.org/officeDocument/2006/relationships" r:id="Ref2e9525ca454a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7" hidden="0" customWidth="1"/>
  </x:cols>
  <x:sheetData>
    <x:row r="1" ht="34" customHeight="1">
      <x:c r="A1" s="4" t="str">
        <x:v>Vintage sensitivity · Browser Three-Year minus stored One-Year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7" t="str">
        <x:v>2019–2022 only. Positive/negative deltas show changes between aggregate release-state profiles; they are not matched applications or a count of new unique rows.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8" customHeight="1">
      <x:c r="A4" s="10" t="str">
        <x:v>Year</x:v>
      </x:c>
      <x:c r="B4" s="10" t="str">
        <x:v>Browser release</x:v>
      </x:c>
      <x:c r="C4" s="10" t="str">
        <x:v>App archive</x:v>
      </x:c>
      <x:c r="D4" s="10" t="str">
        <x:v>Δ action 1</x:v>
      </x:c>
      <x:c r="E4" s="10" t="str">
        <x:v>Δ action 2</x:v>
      </x:c>
      <x:c r="F4" s="10" t="str">
        <x:v>Δ action 3</x:v>
      </x:c>
      <x:c r="G4" s="10" t="str">
        <x:v>Δ action 4</x:v>
      </x:c>
      <x:c r="H4" s="10" t="str">
        <x:v>Δ action 5</x:v>
      </x:c>
      <x:c r="I4" s="10" t="str">
        <x:v>Δ action 6</x:v>
      </x:c>
      <x:c r="J4" s="10" t="str">
        <x:v>Δ action 7</x:v>
      </x:c>
      <x:c r="K4" s="10" t="str">
        <x:v>Δ action 8</x:v>
      </x:c>
      <x:c r="L4" s="10" t="str">
        <x:v>Δ total actions</x:v>
      </x:c>
      <x:c r="M4" s="10" t="str">
        <x:v>Δ decisions 1–3</x:v>
      </x:c>
      <x:c r="N4" s="10" t="str">
        <x:v>Δ denied · 3</x:v>
      </x:c>
      <x:c r="O4" s="10" t="str">
        <x:v>Δ denied share · pp</x:v>
      </x:c>
    </x:row>
    <x:row r="5" ht="29" customHeight="1">
      <x:c r="A5" s="2" t="n">
        <x:v>2019</x:v>
      </x:c>
      <x:c r="B5" s="2" t="str">
        <x:v>Three-Year</x:v>
      </x:c>
      <x:c r="C5" s="2" t="str">
        <x:v>One-Year</x:v>
      </x:c>
      <x:c r="D5" s="11" t="n">
        <x:f>'Browser selected'!D6-'App One-Year'!D5</x:f>
        <x:v>4245</x:v>
      </x:c>
      <x:c r="E5" s="11" t="n">
        <x:f>'Browser selected'!E6-'App One-Year'!E5</x:f>
        <x:v>-2659</x:v>
      </x:c>
      <x:c r="F5" s="11" t="n">
        <x:f>'Browser selected'!F6-'App One-Year'!F5</x:f>
        <x:v>1066</x:v>
      </x:c>
      <x:c r="G5" s="11" t="n">
        <x:f>'Browser selected'!G6-'App One-Year'!G5</x:f>
        <x:v>550</x:v>
      </x:c>
      <x:c r="H5" s="11" t="n">
        <x:f>'Browser selected'!H6-'App One-Year'!H5</x:f>
        <x:v>1930</x:v>
      </x:c>
      <x:c r="I5" s="11" t="n">
        <x:f>'Browser selected'!I6-'App One-Year'!I5</x:f>
        <x:v>5622</x:v>
      </x:c>
      <x:c r="J5" s="11" t="n">
        <x:f>'Browser selected'!J6-'App One-Year'!J5</x:f>
        <x:v>4</x:v>
      </x:c>
      <x:c r="K5" s="11" t="n">
        <x:f>'Browser selected'!K6-'App One-Year'!K5</x:f>
        <x:v>5</x:v>
      </x:c>
      <x:c r="L5" s="11" t="n">
        <x:f>SUM(D5:K5)</x:f>
        <x:v>10763</x:v>
      </x:c>
      <x:c r="M5" s="11" t="n">
        <x:f>SUM(D5:F5)</x:f>
        <x:v>2652</x:v>
      </x:c>
      <x:c r="N5" s="11" t="n">
        <x:f>F5</x:f>
        <x:v>1066</x:v>
      </x:c>
      <x:c r="O5" s="13" t="n">
        <x:f>('Browser selected'!O6-'App One-Year'!O5)*100</x:f>
        <x:v>0.004220484500749855</x:v>
      </x:c>
    </x:row>
    <x:row r="6" ht="29" customHeight="1">
      <x:c r="A6" s="2" t="n">
        <x:v>2020</x:v>
      </x:c>
      <x:c r="B6" s="2" t="str">
        <x:v>Three-Year</x:v>
      </x:c>
      <x:c r="C6" s="2" t="str">
        <x:v>One-Year</x:v>
      </x:c>
      <x:c r="D6" s="11" t="n">
        <x:f>'Browser selected'!D7-'App One-Year'!D6</x:f>
        <x:v>7759</x:v>
      </x:c>
      <x:c r="E6" s="11" t="n">
        <x:f>'Browser selected'!E7-'App One-Year'!E6</x:f>
        <x:v>36311</x:v>
      </x:c>
      <x:c r="F6" s="11" t="n">
        <x:f>'Browser selected'!F7-'App One-Year'!F6</x:f>
        <x:v>6020</x:v>
      </x:c>
      <x:c r="G6" s="11" t="n">
        <x:f>'Browser selected'!G7-'App One-Year'!G6</x:f>
        <x:v>-43436</x:v>
      </x:c>
      <x:c r="H6" s="11" t="n">
        <x:f>'Browser selected'!H7-'App One-Year'!H6</x:f>
        <x:v>4993</x:v>
      </x:c>
      <x:c r="I6" s="11" t="n">
        <x:f>'Browser selected'!I7-'App One-Year'!I6</x:f>
        <x:v>20456</x:v>
      </x:c>
      <x:c r="J6" s="11" t="n">
        <x:f>'Browser selected'!J7-'App One-Year'!J6</x:f>
        <x:v>-8</x:v>
      </x:c>
      <x:c r="K6" s="11" t="n">
        <x:f>'Browser selected'!K7-'App One-Year'!K6</x:f>
        <x:v>203</x:v>
      </x:c>
      <x:c r="L6" s="11" t="n">
        <x:f>SUM(D6:K6)</x:f>
        <x:v>32298</x:v>
      </x:c>
      <x:c r="M6" s="11" t="n">
        <x:f>SUM(D6:F6)</x:f>
        <x:v>50090</x:v>
      </x:c>
      <x:c r="N6" s="11" t="n">
        <x:f>F6</x:f>
        <x:v>6020</x:v>
      </x:c>
      <x:c r="O6" s="13" t="n">
        <x:f>('Browser selected'!O7-'App One-Year'!O6)*100</x:f>
        <x:v>-0.010645049666010986</x:v>
      </x:c>
    </x:row>
    <x:row r="7" ht="29" customHeight="1">
      <x:c r="A7" s="2" t="n">
        <x:v>2021</x:v>
      </x:c>
      <x:c r="B7" s="2" t="str">
        <x:v>Three-Year</x:v>
      </x:c>
      <x:c r="C7" s="2" t="str">
        <x:v>One-Year</x:v>
      </x:c>
      <x:c r="D7" s="11" t="n">
        <x:f>'Browser selected'!D8-'App One-Year'!D7</x:f>
        <x:v>28562</x:v>
      </x:c>
      <x:c r="E7" s="11" t="n">
        <x:f>'Browser selected'!E8-'App One-Year'!E7</x:f>
        <x:v>-1337</x:v>
      </x:c>
      <x:c r="F7" s="11" t="n">
        <x:f>'Browser selected'!F8-'App One-Year'!F7</x:f>
        <x:v>27777</x:v>
      </x:c>
      <x:c r="G7" s="11" t="n">
        <x:f>'Browser selected'!G8-'App One-Year'!G7</x:f>
        <x:v>28460</x:v>
      </x:c>
      <x:c r="H7" s="11" t="n">
        <x:f>'Browser selected'!H8-'App One-Year'!H7</x:f>
        <x:v>-47164</x:v>
      </x:c>
      <x:c r="I7" s="11" t="n">
        <x:f>'Browser selected'!I8-'App One-Year'!I7</x:f>
        <x:v>8300</x:v>
      </x:c>
      <x:c r="J7" s="11" t="n">
        <x:f>'Browser selected'!J8-'App One-Year'!J7</x:f>
        <x:v>-733</x:v>
      </x:c>
      <x:c r="K7" s="11" t="n">
        <x:f>'Browser selected'!K8-'App One-Year'!K7</x:f>
        <x:v>-1249</x:v>
      </x:c>
      <x:c r="L7" s="11" t="n">
        <x:f>SUM(D7:K7)</x:f>
        <x:v>42616</x:v>
      </x:c>
      <x:c r="M7" s="11" t="n">
        <x:f>SUM(D7:F7)</x:f>
        <x:v>55002</x:v>
      </x:c>
      <x:c r="N7" s="11" t="n">
        <x:f>F7</x:f>
        <x:v>27777</x:v>
      </x:c>
      <x:c r="O7" s="13" t="n">
        <x:f>('Browser selected'!O8-'App One-Year'!O7)*100</x:f>
        <x:v>0.10251268587495865</x:v>
      </x:c>
    </x:row>
    <x:row r="8" ht="29" customHeight="1">
      <x:c r="A8" s="2" t="n">
        <x:v>2022</x:v>
      </x:c>
      <x:c r="B8" s="2" t="str">
        <x:v>Three-Year</x:v>
      </x:c>
      <x:c r="C8" s="2" t="str">
        <x:v>One-Year</x:v>
      </x:c>
      <x:c r="D8" s="11" t="n">
        <x:f>'Browser selected'!D9-'App One-Year'!D8</x:f>
        <x:v>9721</x:v>
      </x:c>
      <x:c r="E8" s="11" t="n">
        <x:f>'Browser selected'!E9-'App One-Year'!E8</x:f>
        <x:v>3396</x:v>
      </x:c>
      <x:c r="F8" s="11" t="n">
        <x:f>'Browser selected'!F9-'App One-Year'!F8</x:f>
        <x:v>24813</x:v>
      </x:c>
      <x:c r="G8" s="11" t="n">
        <x:f>'Browser selected'!G9-'App One-Year'!G8</x:f>
        <x:v>8770</x:v>
      </x:c>
      <x:c r="H8" s="11" t="n">
        <x:f>'Browser selected'!H9-'App One-Year'!H8</x:f>
        <x:v>-44229</x:v>
      </x:c>
      <x:c r="I8" s="11" t="n">
        <x:f>'Browser selected'!I9-'App One-Year'!I8</x:f>
        <x:v>13441</x:v>
      </x:c>
      <x:c r="J8" s="11" t="n">
        <x:f>'Browser selected'!J9-'App One-Year'!J8</x:f>
        <x:v>2425</x:v>
      </x:c>
      <x:c r="K8" s="11" t="n">
        <x:f>'Browser selected'!K9-'App One-Year'!K8</x:f>
        <x:v>8331</x:v>
      </x:c>
      <x:c r="L8" s="11" t="n">
        <x:f>SUM(D8:K8)</x:f>
        <x:v>26668</x:v>
      </x:c>
      <x:c r="M8" s="11" t="n">
        <x:f>SUM(D8:F8)</x:f>
        <x:v>37930</x:v>
      </x:c>
      <x:c r="N8" s="11" t="n">
        <x:f>F8</x:f>
        <x:v>24813</x:v>
      </x:c>
      <x:c r="O8" s="13" t="n">
        <x:f>('Browser selected'!O9-'App One-Year'!O8)*100</x:f>
        <x:v>0.14468237009253315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48" customHeight="1">
      <x:c r="A11" s="7" t="str">
        <x:v>Action 4–8 deltas matter: for example, 2020 has fewer action-4 rows but more action-2 rows in the Browser Three-Year vintage. The total delta is not “late rows added”; resubmissions/reclassifications can move action counts in both directions.</x:v>
      </x:c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</x:row>
    <x:row r="12" ht="48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</x:sheetData>
  <x:mergeCells>
    <x:mergeCell ref="A1:O1"/>
    <x:mergeCell ref="A2:O2"/>
    <x:mergeCell ref="A11:O12"/>
  </x:mergeCells>
  <x:pageMargins left="0.7" right="0.7" top="0.75" bottom="0.75" header="0.3" footer="0.3"/>
  <x:tableParts count="1">
    <x:tablePart xmlns:r="http://schemas.openxmlformats.org/officeDocument/2006/relationships" r:id="Rc96c48d796aa46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4" hidden="0" customWidth="1"/>
    <x:col min="14" max="14" width="17" hidden="0" customWidth="1"/>
    <x:col min="15" max="15" width="14" hidden="0" customWidth="1"/>
  </x:cols>
  <x:sheetData>
    <x:row r="1" ht="34" customHeight="1">
      <x:c r="A1" s="4" t="str">
        <x:v>Filtered dimension parity · official 2025 Snapshot API vs local source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54" customHeight="1">
      <x:c r="A2" s="7" t="str">
        <x:v>Five spot-check scopes compared on action codes 1–8. Four app marginal buckets and the California × conventional intersection match the receipt-verified app report. Share columns are Excel formulas.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8" customHeight="1">
      <x:c r="A4" s="10" t="str">
        <x:v>Scope</x:v>
      </x:c>
      <x:c r="B4" s="10" t="str">
        <x:v>Official filter</x:v>
      </x:c>
      <x:c r="C4" s="10" t="str">
        <x:v>API rows 1–8</x:v>
      </x:c>
      <x:c r="D4" s="10" t="str">
        <x:v>Local rows 1–8</x:v>
      </x:c>
      <x:c r="E4" s="10" t="str">
        <x:v>API decisions 1+2+3</x:v>
      </x:c>
      <x:c r="F4" s="10" t="str">
        <x:v>Local decisions 1+2+3</x:v>
      </x:c>
      <x:c r="G4" s="10" t="str">
        <x:v>API denied · 3</x:v>
      </x:c>
      <x:c r="H4" s="10" t="str">
        <x:v>Local denied · 3</x:v>
      </x:c>
      <x:c r="I4" s="10" t="str">
        <x:v>API denied share</x:v>
      </x:c>
      <x:c r="J4" s="10" t="str">
        <x:v>Local denied share</x:v>
      </x:c>
      <x:c r="K4" s="10" t="str">
        <x:v>Δ share · pp</x:v>
      </x:c>
      <x:c r="L4" s="10" t="str">
        <x:v>Local raw match</x:v>
      </x:c>
      <x:c r="M4" s="10" t="str">
        <x:v>API filter echo</x:v>
      </x:c>
      <x:c r="N4" s="10" t="str">
        <x:v>App match</x:v>
      </x:c>
      <x:c r="O4" s="10" t="str">
        <x:v>Check</x:v>
      </x:c>
    </x:row>
    <x:row r="5" ht="34" customHeight="1">
      <x:c r="A5" s="2" t="str">
        <x:v>California state</x:v>
      </x:c>
      <x:c r="B5" s="2" t="str">
        <x:v>state=CA</x:v>
      </x:c>
      <x:c r="C5" s="11" t="n">
        <x:v>1161292</x:v>
      </x:c>
      <x:c r="D5" s="11" t="n">
        <x:v>1161292</x:v>
      </x:c>
      <x:c r="E5" s="11" t="n">
        <x:v>791639</x:v>
      </x:c>
      <x:c r="F5" s="11" t="n">
        <x:v>791639</x:v>
      </x:c>
      <x:c r="G5" s="11" t="n">
        <x:v>177363</x:v>
      </x:c>
      <x:c r="H5" s="11" t="n">
        <x:v>177363</x:v>
      </x:c>
      <x:c r="I5" s="12" t="n">
        <x:f>IFERROR(G5/E5,0)</x:f>
        <x:v>0.2240453034779742</x:v>
      </x:c>
      <x:c r="J5" s="12" t="n">
        <x:f>IFERROR(H5/F5,0)</x:f>
        <x:v>0.2240453034779742</x:v>
      </x:c>
      <x:c r="K5" s="13" t="n">
        <x:f>(I5-J5)*100</x:f>
        <x:v>0</x:v>
      </x:c>
      <x:c r="L5" s="2" t="str">
        <x:v>PASS</x:v>
      </x:c>
      <x:c r="M5" s="2" t="str">
        <x:v>PASS</x:v>
      </x:c>
      <x:c r="N5" s="2" t="str">
        <x:v>PASS</x:v>
      </x:c>
      <x:c r="O5" s="2" t="str">
        <x:f>IF(AND(C5=D5,E5=F5,G5=H5,L5="PASS",M5="PASS",OR(N5="PASS",N5="N/A")),"PASS","CHECK")</x:f>
        <x:v>PASS</x:v>
      </x:c>
    </x:row>
    <x:row r="6" ht="34" customHeight="1">
      <x:c r="A6" s="2" t="str">
        <x:v>Los Angeles County</x:v>
      </x:c>
      <x:c r="B6" s="2" t="str">
        <x:v>county=06037</x:v>
      </x:c>
      <x:c r="C6" s="11" t="n">
        <x:v>223914</x:v>
      </x:c>
      <x:c r="D6" s="11" t="n">
        <x:v>223914</x:v>
      </x:c>
      <x:c r="E6" s="11" t="n">
        <x:v>152070</x:v>
      </x:c>
      <x:c r="F6" s="11" t="n">
        <x:v>152070</x:v>
      </x:c>
      <x:c r="G6" s="11" t="n">
        <x:v>36720</x:v>
      </x:c>
      <x:c r="H6" s="11" t="n">
        <x:v>36720</x:v>
      </x:c>
      <x:c r="I6" s="12" t="n">
        <x:f>IFERROR(G6/E6,0)</x:f>
        <x:v>0.24146774511738014</x:v>
      </x:c>
      <x:c r="J6" s="12" t="n">
        <x:f>IFERROR(H6/F6,0)</x:f>
        <x:v>0.24146774511738014</x:v>
      </x:c>
      <x:c r="K6" s="13" t="n">
        <x:f>(I6-J6)*100</x:f>
        <x:v>0</x:v>
      </x:c>
      <x:c r="L6" s="2" t="str">
        <x:v>PASS</x:v>
      </x:c>
      <x:c r="M6" s="2" t="str">
        <x:v>PASS</x:v>
      </x:c>
      <x:c r="N6" s="2" t="str">
        <x:v>PASS</x:v>
      </x:c>
      <x:c r="O6" s="2" t="str">
        <x:f>IF(AND(C6=D6,E6=F6,G6=H6,L6="PASS",M6="PASS",OR(N6="PASS",N6="N/A")),"PASS","CHECK")</x:f>
        <x:v>PASS</x:v>
      </x:c>
    </x:row>
    <x:row r="7" ht="34" customHeight="1">
      <x:c r="A7" s="2" t="str">
        <x:v>California × conventional</x:v>
      </x:c>
      <x:c r="B7" s="2" t="str">
        <x:v>state=CA; loan_type=1</x:v>
      </x:c>
      <x:c r="C7" s="11" t="n">
        <x:v>961135</x:v>
      </x:c>
      <x:c r="D7" s="11" t="n">
        <x:v>961135</x:v>
      </x:c>
      <x:c r="E7" s="11" t="n">
        <x:v>670649</x:v>
      </x:c>
      <x:c r="F7" s="11" t="n">
        <x:v>670649</x:v>
      </x:c>
      <x:c r="G7" s="11" t="n">
        <x:v>153088</x:v>
      </x:c>
      <x:c r="H7" s="11" t="n">
        <x:v>153088</x:v>
      </x:c>
      <x:c r="I7" s="12" t="n">
        <x:f>IFERROR(G7/E7,0)</x:f>
        <x:v>0.22826843848272346</x:v>
      </x:c>
      <x:c r="J7" s="12" t="n">
        <x:f>IFERROR(H7/F7,0)</x:f>
        <x:v>0.22826843848272346</x:v>
      </x:c>
      <x:c r="K7" s="13" t="n">
        <x:f>(I7-J7)*100</x:f>
        <x:v>0</x:v>
      </x:c>
      <x:c r="L7" s="2" t="str">
        <x:v>PASS</x:v>
      </x:c>
      <x:c r="M7" s="2" t="str">
        <x:v>PASS</x:v>
      </x:c>
      <x:c r="N7" s="2" t="str">
        <x:v>PASS</x:v>
      </x:c>
      <x:c r="O7" s="2" t="str">
        <x:f>IF(AND(C7=D7,E7=F7,G7=H7,L7="PASS",M7="PASS",OR(N7="PASS",N7="N/A")),"PASS","CHECK")</x:f>
        <x:v>PASS</x:v>
      </x:c>
    </x:row>
    <x:row r="8" ht="34" customHeight="1">
      <x:c r="A8" s="2" t="str">
        <x:v>Largest reporting institution (LEI)</x:v>
      </x:c>
      <x:c r="B8" s="2" t="str">
        <x:v>one LEI selected by largest local 2025 action-1–8 count</x:v>
      </x:c>
      <x:c r="C8" s="11" t="n">
        <x:v>663472</x:v>
      </x:c>
      <x:c r="D8" s="11" t="n">
        <x:v>663472</x:v>
      </x:c>
      <x:c r="E8" s="11" t="n">
        <x:v>555321</x:v>
      </x:c>
      <x:c r="F8" s="11" t="n">
        <x:v>555321</x:v>
      </x:c>
      <x:c r="G8" s="11" t="n">
        <x:v>110634</x:v>
      </x:c>
      <x:c r="H8" s="11" t="n">
        <x:v>110634</x:v>
      </x:c>
      <x:c r="I8" s="12" t="n">
        <x:f>IFERROR(G8/E8,0)</x:f>
        <x:v>0.19922531292711784</x:v>
      </x:c>
      <x:c r="J8" s="12" t="n">
        <x:f>IFERROR(H8/F8,0)</x:f>
        <x:v>0.19922531292711784</x:v>
      </x:c>
      <x:c r="K8" s="13" t="n">
        <x:f>(I8-J8)*100</x:f>
        <x:v>0</x:v>
      </x:c>
      <x:c r="L8" s="2" t="str">
        <x:v>PASS</x:v>
      </x:c>
      <x:c r="M8" s="2" t="str">
        <x:v>PASS</x:v>
      </x:c>
      <x:c r="N8" s="2" t="str">
        <x:v>PASS</x:v>
      </x:c>
      <x:c r="O8" s="2" t="str">
        <x:f>IF(AND(C8=D8,E8=F8,G8=H8,L8="PASS",M8="PASS",OR(N8="PASS",N8="N/A")),"PASS","CHECK")</x:f>
        <x:v>PASS</x:v>
      </x:c>
    </x:row>
    <x:row r="9" ht="34" customHeight="1">
      <x:c r="A9" s="2" t="str">
        <x:v>Nationwide conventional loans</x:v>
      </x:c>
      <x:c r="B9" s="2" t="str">
        <x:v>loan_type=1</x:v>
      </x:c>
      <x:c r="C9" s="11" t="n">
        <x:v>10224134</x:v>
      </x:c>
      <x:c r="D9" s="11" t="n">
        <x:v>10224134</x:v>
      </x:c>
      <x:c r="E9" s="11" t="n">
        <x:v>7384608</x:v>
      </x:c>
      <x:c r="F9" s="11" t="n">
        <x:v>7384608</x:v>
      </x:c>
      <x:c r="G9" s="11" t="n">
        <x:v>1728114</x:v>
      </x:c>
      <x:c r="H9" s="11" t="n">
        <x:v>1728114</x:v>
      </x:c>
      <x:c r="I9" s="12" t="n">
        <x:f>IFERROR(G9/E9,0)</x:f>
        <x:v>0.23401567151567151</x:v>
      </x:c>
      <x:c r="J9" s="12" t="n">
        <x:f>IFERROR(H9/F9,0)</x:f>
        <x:v>0.23401567151567151</x:v>
      </x:c>
      <x:c r="K9" s="13" t="n">
        <x:f>(I9-J9)*100</x:f>
        <x:v>0</x:v>
      </x:c>
      <x:c r="L9" s="2" t="str">
        <x:v>PASS</x:v>
      </x:c>
      <x:c r="M9" s="2" t="str">
        <x:v>PASS</x:v>
      </x:c>
      <x:c r="N9" s="2" t="str">
        <x:v>PASS</x:v>
      </x:c>
      <x:c r="O9" s="2" t="str">
        <x:f>IF(AND(C9=D9,E9=F9,G9=H9,L9="PASS",M9="PASS",OR(N9="PASS",N9="N/A")),"PASS","CHECK")</x:f>
        <x:v>PASS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52" customHeight="1">
      <x:c r="A11" s="7" t="str">
        <x:v>Public sheet intentionally omits raw LAR rows, local paths, exact LEI and full action-level query responses. Exact query, LEI, action profiles, API payloads and receipt hashes are retained in the private D: receipt; only aggregate summaries are published.</x:v>
      </x:c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</x:row>
    <x:row r="12" ht="52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</x:sheetData>
  <x:mergeCells>
    <x:mergeCell ref="A1:O1"/>
    <x:mergeCell ref="A2:O2"/>
    <x:mergeCell ref="A11:O12"/>
  </x:mergeCells>
  <x:pageMargins left="0.7" right="0.7" top="0.75" bottom="0.75" header="0.3" footer="0.3"/>
  <x:tableParts count="1">
    <x:tablePart xmlns:r="http://schemas.openxmlformats.org/officeDocument/2006/relationships" r:id="R639b255c9c40487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22" hidden="0" customWidth="1"/>
    <x:col min="5" max="5" width="48" hidden="0" customWidth="1"/>
    <x:col min="6" max="6" width="66" hidden="0" customWidth="1"/>
    <x:col min="7" max="7" width="23" hidden="0" customWidth="1"/>
  </x:cols>
  <x:sheetData>
    <x:row r="1" ht="34" customHeight="1">
      <x:c r="A1" s="4" t="str">
        <x:v>Release/API lineage and receipt references</x:v>
      </x:c>
      <x:c r="B1" s="4"/>
      <x:c r="C1" s="4"/>
      <x:c r="D1" s="4"/>
      <x:c r="E1" s="4"/>
      <x:c r="F1" s="4"/>
      <x:c r="G1" s="4"/>
    </x:row>
    <x:row r="2" ht="34" customHeight="1">
      <x:c r="A2" s="7" t="str">
        <x:v>Public release/source identifiers and SHA-256 hashes only. Private receipts, raw files and local paths remain on D:.</x:v>
      </x:c>
      <x:c r="B2" s="7"/>
      <x:c r="C2" s="7"/>
      <x:c r="D2" s="7"/>
      <x:c r="E2" s="7"/>
      <x:c r="F2" s="7"/>
      <x:c r="G2" s="7"/>
    </x:row>
    <x:row r="3">
      <x:c r="A3" s="2"/>
      <x:c r="B3" s="2"/>
      <x:c r="C3" s="2"/>
      <x:c r="D3" s="2"/>
      <x:c r="E3" s="2"/>
      <x:c r="F3" s="2"/>
      <x:c r="G3" s="2"/>
    </x:row>
    <x:row r="4" ht="38" customHeight="1">
      <x:c r="A4" s="10" t="str">
        <x:v>Activity year</x:v>
      </x:c>
      <x:c r="B4" s="10" t="str">
        <x:v>Browser product</x:v>
      </x:c>
      <x:c r="C4" s="10" t="str">
        <x:v>Freeze</x:v>
      </x:c>
      <x:c r="D4" s="10" t="str">
        <x:v>App source ID</x:v>
      </x:c>
      <x:c r="E4" s="10" t="str">
        <x:v>Local source receipt SHA-256</x:v>
      </x:c>
      <x:c r="F4" s="10" t="str">
        <x:v>Official API request</x:v>
      </x:c>
      <x:c r="G4" s="10" t="str">
        <x:v>API response SHA-256</x:v>
      </x:c>
    </x:row>
    <x:row r="5" ht="50" customHeight="1">
      <x:c r="A5" s="14" t="n">
        <x:v>2018</x:v>
      </x:c>
      <x:c r="B5" s="14" t="str">
        <x:v>Three-Year</x:v>
      </x:c>
      <x:c r="C5" s="14" t="str">
        <x:v>2021-12-31</x:v>
      </x:c>
      <x:c r="D5" s="14" t="str">
        <x:v>hmda-browser-three-year-2018</x:v>
      </x:c>
      <x:c r="E5" s="14" t="str">
        <x:v>2a714c99f6b230708a933c0d4c8cc48f82c8acb57cafdb1ca2fe5fb6128e3a3a</x:v>
      </x:c>
      <x:c r="F5" s="14" t="str">
        <x:v>https://ffiec.cfpb.gov/v2/data-browser-api/view/nationwide/aggregations?years=2018&amp;actions_taken=1,2,3,4,5,6,7,8</x:v>
      </x:c>
      <x:c r="G5" s="14" t="str">
        <x:v>bfa0057a4635de83c5fc4580e5c8720891102ed03ec1db706e8ec14e2caa9ff2</x:v>
      </x:c>
    </x:row>
    <x:row r="6" ht="50" customHeight="1">
      <x:c r="A6" s="14" t="n">
        <x:v>2019</x:v>
      </x:c>
      <x:c r="B6" s="14" t="str">
        <x:v>Three-Year</x:v>
      </x:c>
      <x:c r="C6" s="14" t="str">
        <x:v>2022-12-31</x:v>
      </x:c>
      <x:c r="D6" s="14" t="str">
        <x:v>hmda-national-one-year-2019-f13d5b3aedba</x:v>
      </x:c>
      <x:c r="E6" s="14" t="str">
        <x:v>10aba2f392e35695ef263b0a8f210a4555fddead7f6ac6f9a87e92a9e89eb30a</x:v>
      </x:c>
      <x:c r="F6" s="14" t="str">
        <x:v>https://ffiec.cfpb.gov/v2/data-browser-api/view/nationwide/aggregations?years=2019&amp;actions_taken=1,2,3,4,5,6,7,8</x:v>
      </x:c>
      <x:c r="G6" s="14" t="str">
        <x:v>99dbb0c206e9fbc822a0c4b6546a23873516853738d387ae7ee2817169b693b0</x:v>
      </x:c>
    </x:row>
    <x:row r="7" ht="50" customHeight="1">
      <x:c r="A7" s="14" t="n">
        <x:v>2020</x:v>
      </x:c>
      <x:c r="B7" s="14" t="str">
        <x:v>Three-Year</x:v>
      </x:c>
      <x:c r="C7" s="14" t="str">
        <x:v>2023-12-31</x:v>
      </x:c>
      <x:c r="D7" s="14" t="str">
        <x:v>hmda-national-one-year-2020-b59581b05544</x:v>
      </x:c>
      <x:c r="E7" s="14" t="str">
        <x:v>218bf3d6eafca624fcbf5dbaa66ff096c93cfc7bd3e700cadea038e9b0a7ef34</x:v>
      </x:c>
      <x:c r="F7" s="14" t="str">
        <x:v>https://ffiec.cfpb.gov/v2/data-browser-api/view/nationwide/aggregations?years=2020&amp;actions_taken=1,2,3,4,5,6,7,8</x:v>
      </x:c>
      <x:c r="G7" s="14" t="str">
        <x:v>8367adfdaf7f09417ad11e641844022a5453ffbe62fe5ea6d0494146e9d7ea9a</x:v>
      </x:c>
    </x:row>
    <x:row r="8" ht="50" customHeight="1">
      <x:c r="A8" s="14" t="n">
        <x:v>2021</x:v>
      </x:c>
      <x:c r="B8" s="14" t="str">
        <x:v>Three-Year</x:v>
      </x:c>
      <x:c r="C8" s="14" t="str">
        <x:v>2024-12-31</x:v>
      </x:c>
      <x:c r="D8" s="14" t="str">
        <x:v>hmda-national-one-year-2021-0463a785690a</x:v>
      </x:c>
      <x:c r="E8" s="14" t="str">
        <x:v>0fe8e8b345b688f6cb1666df956f12cc6fad2cb3064553760438f2d54755f23b</x:v>
      </x:c>
      <x:c r="F8" s="14" t="str">
        <x:v>https://ffiec.cfpb.gov/v2/data-browser-api/view/nationwide/aggregations?years=2021&amp;actions_taken=1,2,3,4,5,6,7,8</x:v>
      </x:c>
      <x:c r="G8" s="14" t="str">
        <x:v>f243b69d6298f798d504b4af626b388d5f5355ef623e683e7b5a2bc246786f18</x:v>
      </x:c>
    </x:row>
    <x:row r="9" ht="50" customHeight="1">
      <x:c r="A9" s="14" t="n">
        <x:v>2022</x:v>
      </x:c>
      <x:c r="B9" s="14" t="str">
        <x:v>Three-Year</x:v>
      </x:c>
      <x:c r="C9" s="14" t="str">
        <x:v>2025-12-31</x:v>
      </x:c>
      <x:c r="D9" s="14" t="str">
        <x:v>hmda-national-one-year-2022-364cdfa3f46c</x:v>
      </x:c>
      <x:c r="E9" s="14" t="str">
        <x:v>34ff18ae06ede77cbdff5dd70c445cbb80085c1e394decf1b140135271a151dd</x:v>
      </x:c>
      <x:c r="F9" s="14" t="str">
        <x:v>https://ffiec.cfpb.gov/v2/data-browser-api/view/nationwide/aggregations?years=2022&amp;actions_taken=1,2,3,4,5,6,7,8</x:v>
      </x:c>
      <x:c r="G9" s="14" t="str">
        <x:v>bcd28f033138ff7b37bdcbb917d6994793237dcad4bffa1b4f1801318417c04f</x:v>
      </x:c>
    </x:row>
    <x:row r="10" ht="50" customHeight="1">
      <x:c r="A10" s="14" t="n">
        <x:v>2023</x:v>
      </x:c>
      <x:c r="B10" s="14" t="str">
        <x:v>One-Year</x:v>
      </x:c>
      <x:c r="C10" s="14" t="str">
        <x:v>2025-05-19</x:v>
      </x:c>
      <x:c r="D10" s="14" t="str">
        <x:v>hmda-national-one-year-2023-b2fcebcc952c</x:v>
      </x:c>
      <x:c r="E10" s="14" t="str">
        <x:v>5182d410e5157c31ad0b0cccbfc5b253247ff86fd0330632c0a59b59d92cf6af</x:v>
      </x:c>
      <x:c r="F10" s="14" t="str">
        <x:v>https://ffiec.cfpb.gov/v2/data-browser-api/view/nationwide/aggregations?years=2023&amp;actions_taken=1,2,3,4,5,6,7,8</x:v>
      </x:c>
      <x:c r="G10" s="14" t="str">
        <x:v>107d2fe81488f16593f30104f350b0655d3b8ebe0e8f9884d9170b7c50820a6d</x:v>
      </x:c>
    </x:row>
    <x:row r="11" ht="50" customHeight="1">
      <x:c r="A11" s="14" t="n">
        <x:v>2024</x:v>
      </x:c>
      <x:c r="B11" s="14" t="str">
        <x:v>One-Year</x:v>
      </x:c>
      <x:c r="C11" s="14" t="str">
        <x:v>2026-06-02</x:v>
      </x:c>
      <x:c r="D11" s="14" t="str">
        <x:v>hmda-national-one-year-2024-002bab12cd71</x:v>
      </x:c>
      <x:c r="E11" s="14" t="str">
        <x:v>bf0bec3475db5b51816e652e0cb4430be0fb7ee9ca02c9daf786a18a0c84a9b1</x:v>
      </x:c>
      <x:c r="F11" s="14" t="str">
        <x:v>https://ffiec.cfpb.gov/v2/data-browser-api/view/nationwide/aggregations?years=2024&amp;actions_taken=1,2,3,4,5,6,7,8</x:v>
      </x:c>
      <x:c r="G11" s="14" t="str">
        <x:v>09eb437f9478cff2b97b8f8438a89af45c0cb19059c90e650424e68c6b7e9de4</x:v>
      </x:c>
    </x:row>
    <x:row r="12" ht="50" customHeight="1">
      <x:c r="A12" s="14" t="n">
        <x:v>2025</x:v>
      </x:c>
      <x:c r="B12" s="14" t="str">
        <x:v>Snapshot</x:v>
      </x:c>
      <x:c r="C12" s="14" t="str">
        <x:v>2026-06-02</x:v>
      </x:c>
      <x:c r="D12" s="14" t="str">
        <x:v>hmda-national-snapshot-2025-9a5e89600e3c</x:v>
      </x:c>
      <x:c r="E12" s="14" t="str">
        <x:v>975d492750c471f2e0bbc14fe778faab1568d277d0f1f011bca10d57ff1daa88</x:v>
      </x:c>
      <x:c r="F12" s="14" t="str">
        <x:v>https://ffiec.cfpb.gov/v2/data-browser-api/view/nationwide/aggregations?years=2025&amp;actions_taken=1,2,3,4,5,6,7,8</x:v>
      </x:c>
      <x:c r="G12" s="14" t="str">
        <x:v>e36c4105644d1592b01e80bd08f060f20955c4e8be22994519e885c1e01b9a88</x:v>
      </x:c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fcc02ed4716454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72" hidden="0" customWidth="1"/>
    <x:col min="3" max="3" width="64" hidden="0" customWidth="1"/>
    <x:col min="4" max="4" width="24" hidden="0" customWidth="1"/>
  </x:cols>
  <x:sheetData>
    <x:row r="1" ht="34" customHeight="1">
      <x:c r="A1" s="4" t="str">
        <x:v>Method, definitions and source limits</x:v>
      </x:c>
      <x:c r="B1" s="4"/>
      <x:c r="C1" s="4"/>
      <x:c r="D1" s="4"/>
    </x:row>
    <x:row r="2">
      <x:c r="A2" s="2"/>
      <x:c r="B2" s="2"/>
      <x:c r="C2" s="2"/>
      <x:c r="D2" s="2"/>
    </x:row>
    <x:row r="3" ht="38" customHeight="1">
      <x:c r="A3" s="10" t="str">
        <x:v>Item</x:v>
      </x:c>
      <x:c r="B3" s="10" t="str">
        <x:v>Definition / value</x:v>
      </x:c>
      <x:c r="C3" s="10" t="str">
        <x:v>Official source / evidence</x:v>
      </x:c>
      <x:c r="D3" s="10" t="str">
        <x:v>Status</x:v>
      </x:c>
    </x:row>
    <x:row r="4" ht="52" customHeight="1">
      <x:c r="A4" s="14" t="str">
        <x:v>Release selection</x:v>
      </x:c>
      <x:c r="B4" s="14" t="str">
        <x:v>Use the latest available static release selected by the FFIEC/CFPB Data Browser for each activity year.</x:v>
      </x:c>
      <x:c r="C4" s="14" t="str">
        <x:v>https://ffiec.cfpb.gov/documentation/tools/data-browser/data-browser-faq</x:v>
      </x:c>
      <x:c r="D4" s="14" t="str">
        <x:v>Official FAQ</x:v>
      </x:c>
    </x:row>
    <x:row r="5" ht="52" customHeight="1">
      <x:c r="A5" s="14" t="str">
        <x:v>API function</x:v>
      </x:c>
      <x:c r="B5" s="14" t="str">
        <x:v>Nationwide aggregations API powers the Data Browser; one request per year, action filter 1–8.</x:v>
      </x:c>
      <x:c r="C5" s="14" t="str">
        <x:v>https://ffiec.cfpb.gov/documentation/api/data-browser/</x:v>
      </x:c>
      <x:c r="D5" s="14" t="str">
        <x:v>Official API docs</x:v>
      </x:c>
    </x:row>
    <x:row r="6" ht="52" customHeight="1">
      <x:c r="A6" s="14" t="str">
        <x:v>Decision denominator</x:v>
      </x:c>
      <x:c r="B6" s="14" t="str">
        <x:v>Count(action_taken in 1,2,3): originated + approved/not accepted + denied.</x:v>
      </x:c>
      <x:c r="C6" s="14" t="str">
        <x:v>CreditAtlas-derived descriptive denominator</x:v>
      </x:c>
      <x:c r="D6" s="14" t="str">
        <x:v>Not PD/default</x:v>
      </x:c>
    </x:row>
    <x:row r="7" ht="52" customHeight="1">
      <x:c r="A7" s="14" t="str">
        <x:v>Denied numerator</x:v>
      </x:c>
      <x:c r="B7" s="14" t="str">
        <x:v>Count(action_taken == 3).</x:v>
      </x:c>
      <x:c r="C7" s="14" t="str">
        <x:v>Official public action code 3</x:v>
      </x:c>
      <x:c r="D7" s="14" t="str">
        <x:v>Not default</x:v>
      </x:c>
    </x:row>
    <x:row r="8" ht="52" customHeight="1">
      <x:c r="A8" s="14" t="str">
        <x:v>Denied share</x:v>
      </x:c>
      <x:c r="B8" s="14" t="str">
        <x:v>Denied action 3 / actions 1+2+3; Excel formula shown in Browser selected and App One-Year sheets.</x:v>
      </x:c>
      <x:c r="C8" s="14" t="str">
        <x:v>Recomputed from official action counts</x:v>
      </x:c>
      <x:c r="D8" s="14" t="str">
        <x:v>Descriptive</x:v>
      </x:c>
    </x:row>
    <x:row r="9" ht="52" customHeight="1">
      <x:c r="A9" s="14" t="str">
        <x:v>2018 source boundary</x:v>
      </x:c>
      <x:c r="B9" s="14" t="str">
        <x:v>1,961 local raw rows have action=-1 and are quarantined; API/report profile covers actions 1–8.</x:v>
      </x:c>
      <x:c r="C9" s="14" t="str">
        <x:v>2018 private acquisition and audit receipt</x:v>
      </x:c>
      <x:c r="D9" s="14" t="str">
        <x:v>Excluded from KPI</x:v>
      </x:c>
    </x:row>
    <x:row r="10" ht="52" customHeight="1">
      <x:c r="A10" s="14" t="str">
        <x:v>2019–2022 vintage comparison</x:v>
      </x:c>
      <x:c r="B10" s="14" t="str">
        <x:v>App archives are One-Year; the current Browser selects Three-Year. Compare totals by action only; no row-level match.</x:v>
      </x:c>
      <x:c r="C10" s="14" t="str">
        <x:v>See Vintage deltas and JSON audit</x:v>
      </x:c>
      <x:c r="D10" s="14" t="str">
        <x:v>Cross-vintage diagnostic</x:v>
      </x:c>
    </x:row>
    <x:row r="11" ht="52" customHeight="1">
      <x:c r="A11" s="14" t="str">
        <x:v>2023–2025 matching releases</x:v>
      </x:c>
      <x:c r="B11" s="14" t="str">
        <x:v>2023/2024 One-Year and 2025 Snapshot app receipts match all Browser-selected action counts.</x:v>
      </x:c>
      <x:c r="C11" s="14" t="str">
        <x:v>Private receipts crosswalked in JSON output</x:v>
      </x:c>
      <x:c r="D11" s="14" t="str">
        <x:v>Exact action-count match</x:v>
      </x:c>
    </x:row>
    <x:row r="12" ht="52" customHeight="1">
      <x:c r="A12" s="14" t="str">
        <x:v>2025 filtered API dimension check</x:v>
      </x:c>
      <x:c r="B12" s="14" t="str">
        <x:v>5 Snapshot scopes reconciled; four app marginal buckets and the California × conventional intersection match.</x:v>
      </x:c>
      <x:c r="C12" s="14" t="str">
        <x:v>See Dimension parity and sanitized API audit JSON</x:v>
      </x:c>
      <x:c r="D12" s="14" t="str">
        <x:v>PASS</x:v>
      </x:c>
    </x:row>
    <x:row r="13" ht="52" customHeight="1">
      <x:c r="A13" s="14" t="str">
        <x:v>2025 Dynamic</x:v>
      </x:c>
      <x:c r="B13" s="14" t="str">
        <x:v>Dynamic is a separate weekly release state; not the Browser-selected static Snapshot.</x:v>
      </x:c>
      <x:c r="C13" s="14" t="str">
        <x:v>2025 Snapshot/Dynamic comparison report</x:v>
      </x:c>
      <x:c r="D13" s="14" t="str">
        <x:v>Separate source ID</x:v>
      </x:c>
    </x:row>
    <x:row r="14" ht="52" customHeight="1">
      <x:c r="A14" s="14" t="str">
        <x:v>Release-state limits</x:v>
      </x:c>
      <x:c r="B14" s="14" t="str">
        <x:v>Release differences can include late submissions/resubmissions and reclassifications; action deltas can have either sign.</x:v>
      </x:c>
      <x:c r="C14" s="14" t="str">
        <x:v>No row matching performed</x:v>
      </x:c>
      <x:c r="D14" s="14" t="str">
        <x:v>Do not call new unique rows</x:v>
      </x:c>
    </x:row>
    <x:row r="15" ht="52" customHeight="1">
      <x:c r="A15" s="14" t="str">
        <x:v>Trend limits</x:v>
      </x:c>
      <x:c r="B15" s="14" t="str">
        <x:v>Across-year levels also reflect coverage, reporting thresholds, product mix and geography mix.</x:v>
      </x:c>
      <x:c r="C15" s="14" t="str">
        <x:v>Additional harmonization needed</x:v>
      </x:c>
      <x:c r="D15" s="14" t="str">
        <x:v>Not causal</x:v>
      </x:c>
    </x:row>
    <x:row r="16" ht="52" customHeight="1">
      <x:c r="A16" s="14" t="str">
        <x:v>Data handling</x:v>
      </x:c>
      <x:c r="B16" s="14" t="str">
        <x:v>This workbook has action-count aggregates, no raw LAR records. Raw CSV/ZIP and full source receipts remain private.</x:v>
      </x:c>
      <x:c r="C16" s="14" t="str">
        <x:v>Project rights review</x:v>
      </x:c>
      <x:c r="D16" s="14" t="str">
        <x:v>No row-level data</x:v>
      </x:c>
    </x:row>
    <x:row r="17" ht="52" customHeight="1">
      <x:c r="A17" s="14" t="str">
        <x:v>Rights status</x:v>
      </x:c>
      <x:c r="B17" s="14" t="str">
        <x:v>Reviewed pages support analysis/privacy-modified use but did not specify raw rehosting/redistribution terms.</x:v>
      </x:c>
      <x:c r="C17" s="14" t="str">
        <x:v>HMDA rights review</x:v>
      </x:c>
      <x:c r="D17" s="14" t="str">
        <x:v>Raw remains private</x:v>
      </x:c>
    </x:row>
    <x:row r="18" ht="52" customHeight="1">
      <x:c r="A18" s="14" t="str">
        <x:v>Forecast/model</x:v>
      </x:c>
      <x:c r="B18" s="14" t="str">
        <x:v>No forecast, imputation, PD, default or risk model was created by this audit.</x:v>
      </x:c>
      <x:c r="C18" s="14" t="str">
        <x:v>Audit scope</x:v>
      </x:c>
      <x:c r="D18" s="14" t="str">
        <x:v>None</x:v>
      </x:c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6496fd65fac4eaf"/>
  </x:tableParts>
</x:worksheet>
</file>