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561da232c49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t dau" sheetId="1" r:id="R3e6a3e3048654147"/>
    <x:sheet xmlns:r="http://schemas.openxmlformats.org/officeDocument/2006/relationships" name="Monthly trend" sheetId="2" r:id="R8e28a57f0a9b4ccc"/>
    <x:sheet xmlns:r="http://schemas.openxmlformats.org/officeDocument/2006/relationships" name="Subgroup rates" sheetId="3" r:id="R62e4d315460e4106"/>
    <x:sheet xmlns:r="http://schemas.openxmlformats.org/officeDocument/2006/relationships" name="New 90+ reasons" sheetId="4" r:id="R70d443bb727844e5"/>
    <x:sheet xmlns:r="http://schemas.openxmlformats.org/officeDocument/2006/relationships" name="Foreclosure" sheetId="5" r:id="R5676f55ca3004216"/>
    <x:sheet xmlns:r="http://schemas.openxmlformats.org/officeDocument/2006/relationships" name="REO recovery" sheetId="6" r:id="R6af44925920744de"/>
    <x:sheet xmlns:r="http://schemas.openxmlformats.org/officeDocument/2006/relationships" name="REO loss detail" sheetId="7" r:id="R6ceef3b279c64a05"/>
    <x:sheet xmlns:r="http://schemas.openxmlformats.org/officeDocument/2006/relationships" name="Delinquency flow" sheetId="8" r:id="Rdba2223d90e04b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.00"/>
    <x:numFmt numFmtId="202" formatCode="0.00&quot;%&quot;"/>
    <x:numFmt numFmtId="203" formatCode="0.0&quot;%&quot;"/>
    <x:numFmt numFmtId="204" formatCode="0.0&quot; pp&quot;"/>
    <x:numFmt numFmtId="205" formatCode="$#,##0"/>
    <x:numFmt numFmtId="206" formatCode="0.0&quot; months&quot;"/>
    <x:numFmt numFmtId="207" formatCode="#,##0;(#,##0)"/>
  </x:numFmts>
  <x:fonts count="4">
    <x:font>
      <x:sz val="11"/>
      <x:name val="Carlito"/>
    </x:font>
    <x:font>
      <x:b/>
      <x:sz val="16"/>
      <x:color rgb="FFFFFFFF"/>
      <x:name val="Aptos Display"/>
    </x:font>
    <x:font>
      <x:b/>
      <x:sz val="11"/>
      <x:color rgb="FF243B53"/>
      <x:name val="Carlito"/>
    </x:font>
    <x:font>
      <x:b/>
      <x:sz val="10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 applyAlignment="1">
      <x:alignment vertical="top" wrapText="1"/>
    </x:xf>
    <x:xf numFmtId="207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33066cfea34f67" /><Relationship Type="http://schemas.openxmlformats.org/officeDocument/2006/relationships/theme" Target="/xl/theme/theme1.xml" Id="R1b87f5097e274d65" /><Relationship Type="http://schemas.microsoft.com/office/2022/11/relationships/FeaturePropertyBag" Target="/xl/featurePropertyBag/featurePropertyBag.xml" Id="R49b82e3b10d5419b" /><Relationship Type="http://schemas.openxmlformats.org/officeDocument/2006/relationships/sharedStrings" Target="/xl/sharedStrings.xml" Id="Rf5c1295f223b4674" /><Relationship Type="http://schemas.openxmlformats.org/officeDocument/2006/relationships/worksheet" Target="/xl/worksheets/sheet1.xml" Id="R3e6a3e3048654147" /><Relationship Type="http://schemas.openxmlformats.org/officeDocument/2006/relationships/worksheet" Target="/xl/worksheets/sheet2.xml" Id="R8e28a57f0a9b4ccc" /><Relationship Type="http://schemas.openxmlformats.org/officeDocument/2006/relationships/worksheet" Target="/xl/worksheets/sheet3.xml" Id="R62e4d315460e4106" /><Relationship Type="http://schemas.openxmlformats.org/officeDocument/2006/relationships/worksheet" Target="/xl/worksheets/sheet4.xml" Id="R70d443bb727844e5" /><Relationship Type="http://schemas.openxmlformats.org/officeDocument/2006/relationships/worksheet" Target="/xl/worksheets/sheet5.xml" Id="R5676f55ca3004216" /><Relationship Type="http://schemas.openxmlformats.org/officeDocument/2006/relationships/worksheet" Target="/xl/worksheets/sheet6.xml" Id="R6af44925920744de" /><Relationship Type="http://schemas.openxmlformats.org/officeDocument/2006/relationships/worksheet" Target="/xl/worksheets/sheet7.xml" Id="R6ceef3b279c64a05" /><Relationship Type="http://schemas.openxmlformats.org/officeDocument/2006/relationships/worksheet" Target="/xl/worksheets/sheet8.xml" Id="Rdba2223d90e04b3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UDFHAMonthly" displayName="HUDFHAMonthly" ref="A1:K27" headerRowCount="1" totalsRowCount="0" totalsRowShown="0">
  <x:autoFilter ref="A1:K27"/>
  <x:tableColumns count="11">
    <x:tableColumn id="1" name="Tháng"/>
    <x:tableColumn id="2" name="Seasonal adjustment"/>
    <x:tableColumn id="3" name="Active IIF · EOM"/>
    <x:tableColumn id="4" name="30-day delinquency %"/>
    <x:tableColumn id="5" name="60-day delinquency %"/>
    <x:tableColumn id="6" name="90-day delinquency %"/>
    <x:tableColumn id="7" name="In foreclosure %"/>
    <x:tableColumn id="8" name="In bankruptcy %"/>
    <x:tableColumn id="9" name="Serious delinquency %"/>
    <x:tableColumn id="10" name="HUD table"/>
    <x:tableColumn id="11" name="PDF p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UDFHASubgroups" displayName="HUDFHASubgroups" ref="A1:O61" headerRowCount="1" totalsRowCount="0" totalsRowShown="0">
  <x:autoFilter ref="A1:O61"/>
  <x:tableColumns count="15">
    <x:tableColumn id="1" name="Dimension"/>
    <x:tableColumn id="2" name="Parent category"/>
    <x:tableColumn id="3" name="Category"/>
    <x:tableColumn id="4" name="IIF count"/>
    <x:tableColumn id="5" name="IIF share %"/>
    <x:tableColumn id="6" name="Share denominator"/>
    <x:tableColumn id="7" name="All past due %"/>
    <x:tableColumn id="8" name="30-day %"/>
    <x:tableColumn id="9" name="60-day %"/>
    <x:tableColumn id="10" name="90+ day %"/>
    <x:tableColumn id="11" name="Foreclosure %"/>
    <x:tableColumn id="12" name="Bankruptcy %"/>
    <x:tableColumn id="13" name="Serious delinquency %"/>
    <x:tableColumn id="14" name="HUD table"/>
    <x:tableColumn id="15" name="PDF p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UDFHANew90PlusReasons" displayName="HUDFHANew90PlusReasons" ref="A1:M23" headerRowCount="1" totalsRowCount="0" totalsRowShown="0">
  <x:autoFilter ref="A1:M23"/>
  <x:tableColumns count="13">
    <x:tableColumn id="1" name="Fiscal period"/>
    <x:tableColumn id="2" name="New 90+ loans"/>
    <x:tableColumn id="3" name="Income reduction %"/>
    <x:tableColumn id="4" name="Unemployed %"/>
    <x:tableColumn id="5" name="Excessive obligations %"/>
    <x:tableColumn id="6" name="Death / illness %"/>
    <x:tableColumn id="7" name="Marital difficulties %"/>
    <x:tableColumn id="8" name="Unable to contact %"/>
    <x:tableColumn id="9" name="National emergency %"/>
    <x:tableColumn id="10" name="Other reason %"/>
    <x:tableColumn id="11" name="HUD table"/>
    <x:tableColumn id="12" name="PDF page"/>
    <x:tableColumn id="13" name="Partial perio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UDFHAForeclosure" displayName="HUDFHAForeclosure" ref="A1:J38" headerRowCount="1" totalsRowCount="0" totalsRowShown="0">
  <x:autoFilter ref="A1:J38"/>
  <x:tableColumns count="10">
    <x:tableColumn id="1" name="Fiscal year"/>
    <x:tableColumn id="2" name="Month"/>
    <x:tableColumn id="3" name="Active IIF"/>
    <x:tableColumn id="4" name="Foreclosure starts"/>
    <x:tableColumn id="5" name="In foreclosure"/>
    <x:tableColumn id="6" name="Claims paid"/>
    <x:tableColumn id="7" name="6-month starts average"/>
    <x:tableColumn id="8" name="Annualized foreclosure rate %"/>
    <x:tableColumn id="9" name="HUD table"/>
    <x:tableColumn id="10" name="PDF p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UDFHAReoRecovery" displayName="HUDFHAReoRecovery" ref="A1:I51" headerRowCount="1" totalsRowCount="0" totalsRowShown="0">
  <x:autoFilter ref="A1:I51"/>
  <x:tableColumns count="9">
    <x:tableColumn id="1" name="State / territory"/>
    <x:tableColumn id="2" name="Dispositions · Jul 2026"/>
    <x:tableColumn id="3" name="Recovery · Jul 2026 %"/>
    <x:tableColumn id="4" name="Recovery · Jun 2026 %"/>
    <x:tableColumn id="5" name="Recovery · Jul 2025 %"/>
    <x:tableColumn id="6" name="Change vs Jun 2026 (pp)"/>
    <x:tableColumn id="7" name="Change vs Jul 2025 (pp)"/>
    <x:tableColumn id="8" name="HUD table"/>
    <x:tableColumn id="9" name="PDF pag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UDFHAReoLoss" displayName="HUDFHAReoLoss" ref="A1:R14" headerRowCount="1" totalsRowCount="0" totalsRowShown="0">
  <x:autoFilter ref="A1:R14"/>
  <x:tableColumns count="18">
    <x:tableColumn id="1" name="Disposition month"/>
    <x:tableColumn id="2" name="Claim expenses %"/>
    <x:tableColumn id="3" name="Holding costs %"/>
    <x:tableColumn id="4" name="Loss on collateral %"/>
    <x:tableColumn id="5" name="Sales expenses %"/>
    <x:tableColumn id="6" name="Program discounts %"/>
    <x:tableColumn id="7" name="Net loss rate %"/>
    <x:tableColumn id="8" name="Average dollar loss ($)"/>
    <x:tableColumn id="9" name="Average unpaid balance ($)"/>
    <x:tableColumn id="10" name="Dispositions"/>
    <x:tableColumn id="11" name="Discounts"/>
    <x:tableColumn id="12" name="Delinquency (months)"/>
    <x:tableColumn id="13" name="Foreclosure (months)"/>
    <x:tableColumn id="14" name="Deed transfer (months)"/>
    <x:tableColumn id="15" name="REO (months)"/>
    <x:tableColumn id="16" name="All stages (months)"/>
    <x:tableColumn id="17" name="HUD table"/>
    <x:tableColumn id="18" name="PDF pag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UDFHAProductionTransitions" displayName="HUDFHAProductionTransitions" ref="A1:P14" headerRowCount="1" totalsRowCount="0" totalsRowShown="0">
  <x:autoFilter ref="A1:P14"/>
  <x:tableColumns count="16">
    <x:tableColumn id="1" name="Period"/>
    <x:tableColumn id="2" name="Performance year"/>
    <x:tableColumn id="3" name="Month"/>
    <x:tableColumn id="4" name="Beginning serious-delinquency inventory"/>
    <x:tableColumn id="5" name="Entering serious delinquency"/>
    <x:tableColumn id="6" name="Cured / leaving serious delinquency"/>
    <x:tableColumn id="7" name="Claims"/>
    <x:tableColumn id="8" name="Prepayments from serious delinquency"/>
    <x:tableColumn id="9" name="Ending serious-delinquency inventory"/>
    <x:tableColumn id="10" name="Late-posting adjustment"/>
    <x:tableColumn id="11" name="HUD cure ratio %"/>
    <x:tableColumn id="12" name="HUD table"/>
    <x:tableColumn id="13" name="Report page"/>
    <x:tableColumn id="14" name="Flow identity difference"/>
    <x:tableColumn id="15" name="Recomputed cure ratio %"/>
    <x:tableColumn id="16" name="Beginning bridge dif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a11334ecd24d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4c68198ab349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812ffbeb60d45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fcd0c9aabb04e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ce7c669bff4fe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ce2f4d084140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9d6c0e26fce47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2" hidden="0" customWidth="1"/>
  </x:cols>
  <x:sheetData>
    <x:row r="1" ht="32" customHeight="1">
      <x:c r="A1" s="4" t="str">
        <x:v>CreditAtlas · HUD FHA portfolio benchmark</x:v>
      </x:c>
      <x:c r="B1" s="4" t="str"/>
    </x:row>
    <x:row r="2" ht="42" customHeight="1">
      <x:c r="A2" s="7" t="str">
        <x:v>Mục đích</x:v>
      </x:c>
      <x:c r="B2" s="8" t="str">
        <x:v>Benchmark tổng hợp từ FHA Single-Family Loan Performance Trends, kỳ báo cáo August 2026; nguồn độc lập với NSMO và Freddie Mac.</x:v>
      </x:c>
    </x:row>
    <x:row r="3" ht="42" customHeight="1">
      <x:c r="A3" s="7" t="str">
        <x:v>Monthly</x:v>
      </x:c>
      <x:c r="B3" s="8" t="str">
        <x:v>13 tháng từ Aug-2025 đến Aug-2026; NSA và SA dùng cùng IIF end-of-month count.</x:v>
      </x:c>
    </x:row>
    <x:row r="4" ht="42" customHeight="1">
      <x:c r="A4" s="7" t="str">
        <x:v>Subgroups</x:v>
      </x:c>
      <x:c r="B4" s="8" t="str">
        <x:v>60 dòng Table 3: loan purpose, refinance, credit score, fiscal-year cohort, origination amount, property, purchase type và DPA.</x:v>
      </x:c>
    </x:row>
    <x:row r="5" ht="42" customHeight="1">
      <x:c r="A5" s="7" t="str">
        <x:v>New 90+ reasons</x:v>
      </x:c>
      <x:c r="B5" s="8" t="str">
        <x:v>Table 2: số khoản mới vào nhóm 90+ và phân phối lý do báo cáo theo kỳ tài khóa; July/August 2026 là kỳ chưa đủ tháng.</x:v>
      </x:c>
    </x:row>
    <x:row r="6" ht="42" customHeight="1">
      <x:c r="A6" s="7" t="str">
        <x:v>Foreclosure</x:v>
      </x:c>
      <x:c r="B6" s="8" t="str">
        <x:v>Table 4: IIF, foreclosure starts, in-foreclosure stock, claims, 6-month average và rate HUD annualized.</x:v>
      </x:c>
    </x:row>
    <x:row r="7" ht="42" customHeight="1">
      <x:c r="A7" s="7" t="str">
        <x:v>REO recovery</x:v>
      </x:c>
      <x:c r="B7" s="8" t="str">
        <x:v>Table 5: recovery theo bang/lãnh thổ, cùng số disposition và thay đổi theo percentage points.</x:v>
      </x:c>
    </x:row>
    <x:row r="8" ht="42" customHeight="1">
      <x:c r="A8" s="7" t="str">
        <x:v>REO losses</x:v>
      </x:c>
      <x:c r="B8" s="8" t="str">
        <x:v>Table 6: các thành phần loss/cost, số tiền bình quân, số disposition và thời lượng các stage.</x:v>
      </x:c>
    </x:row>
    <x:row r="9" ht="42" customHeight="1">
      <x:c r="A9" s="7" t="str">
        <x:v>Định nghĩa 90-day</x:v>
      </x:c>
      <x:c r="B9" s="8" t="str">
        <x:v>Ít nhất 3 tháng delinquent, loại các khoản đang foreclosure hoặc bankruptcy processing.</x:v>
      </x:c>
    </x:row>
    <x:row r="10" ht="42" customHeight="1">
      <x:c r="A10" s="7" t="str">
        <x:v>Định nghĩa serious</x:v>
      </x:c>
      <x:c r="B10" s="8" t="str">
        <x:v>HUD định nghĩa bằng 90+ delinquency + in-foreclosure + in-bankruptcy rates.</x:v>
      </x:c>
    </x:row>
    <x:row r="11" ht="42" customHeight="1">
      <x:c r="A11" s="7" t="str">
        <x:v>Giới hạn</x:v>
      </x:c>
      <x:c r="B11" s="8" t="str">
        <x:v>Aggregate only; không có loan-level events/labels. IIF shares được làm tròn; các dòng refinance con lồng nhau, không cộng chúng với category cha.</x:v>
      </x:c>
    </x:row>
    <x:row r="12" ht="42" customHeight="1">
      <x:c r="A12" s="7" t="str">
        <x:v>Trích xuất</x:v>
      </x:c>
      <x:c r="B12" s="8" t="str">
        <x:v>Giá trị được đối chiếu từ text của PDF HUD công khai; PDF binary trả HTTP 403 khi tải trực tiếp. Không có raw-PDF SHA-256.</x:v>
      </x:c>
    </x:row>
    <x:row r="13" ht="42" customHeight="1">
      <x:c r="A13" s="7" t="str">
        <x:v>Nguồn chỉ mục</x:v>
      </x:c>
      <x:c r="B13" s="8" t="str">
        <x:v>https://www.hud.gov/hud-partners/single-family-loan-performance</x:v>
      </x:c>
    </x:row>
    <x:row r="14" ht="42" customHeight="1">
      <x:c r="A14" s="7" t="str">
        <x:v>Báo cáo PDF</x:v>
      </x:c>
      <x:c r="B14" s="8" t="str">
        <x:v>https://www.hud.gov/sites/default/files/Housing/documents/FHALPT_AUG2026.pdf · Tables 1–6, report pages 2–8</x:v>
      </x:c>
    </x:row>
    <x:row r="15" ht="42" customHeight="1">
      <x:c r="A15" s="7" t="str">
        <x:v>Coverage caveat</x:v>
      </x:c>
      <x:c r="B15" s="8" t="str">
        <x:v>Credit-score reporting became mandatory in July 2008; streamline refinances are excluded from score bands. FY2026 is partial with shorter exposure time.</x:v>
      </x:c>
    </x:row>
    <x:row r="16" ht="42" customHeight="1">
      <x:c r="A16" s="7" t="str">
        <x:v>Cách đọc Table 2</x:v>
      </x:c>
      <x:c r="B16" s="8" t="str">
        <x:v>Lý do là descriptive distribution, không phải predictor importance hoặc nguyên nhân nhân quả; shares cộng thành 100%.</x:v>
      </x:c>
    </x:row>
    <x:row r="17" ht="42" customHeight="1">
      <x:c r="A17" s="7" t="str">
        <x:v>Cách đọc Table 4</x:v>
      </x:c>
      <x:c r="B17" s="8" t="str">
        <x:v>Foreclosure starts (flow), in-foreclosure (stock), claims paid và annualized rate là chỉ số khác nhau, không thay thế nhau.</x:v>
      </x:c>
    </x:row>
    <x:row r="18" ht="42" customHeight="1">
      <x:c r="A18" s="7" t="str">
        <x:v>Cách đọc Table 5–6</x:v>
      </x:c>
      <x:c r="B18" s="8" t="str">
        <x:v>Recovery có thể vượt 100%; blank là publisher không báo cáo. Loss components không phải danh mục cộng được và không cộng thành net loss.</x:v>
      </x:c>
    </x:row>
    <x:row r="19" ht="42" customHeight="1">
      <x:c r="A19" s="7" t="str">
        <x:v>Production transitions</x:v>
      </x:c>
      <x:c r="B19" s="8" t="str">
        <x:v>HUD FHA Single Family Production Report · Table 2 · 13 monthly flow/stock observations from Aug 2025 through Aug 2026. This is a separate report and series.</x:v>
      </x:c>
    </x:row>
    <x:row r="20" ht="42" customHeight="1">
      <x:c r="A20" s="7" t="str">
        <x:v>Transition identity</x:v>
      </x:c>
      <x:c r="B20" s="8" t="str">
        <x:v>Ending serious-delinquency inventory = beginning + entries − cures − claims − prepayments from serious delinquency inventory.</x:v>
      </x:c>
    </x:row>
    <x:row r="21" ht="42" customHeight="1">
      <x:c r="A21" s="7" t="str">
        <x:v>Late posting</x:v>
      </x:c>
      <x:c r="B21" s="8" t="str">
        <x:v>Beginning inventory in each later month reconciles to the prior ending inventory plus the published late-posting adjustment.</x:v>
      </x:c>
    </x:row>
    <x:row r="22" ht="42" customHeight="1">
      <x:c r="A22" s="7" t="str">
        <x:v>Cure ratio</x:v>
      </x:c>
      <x:c r="B22" s="8" t="str">
        <x:v>HUD defines this as same-month cures divided by entries. It is not a matched-cohort cure probability; it may exceed 100%.</x:v>
      </x:c>
    </x:row>
    <x:row r="23" ht="42" customHeight="1">
      <x:c r="A23" s="7" t="str">
        <x:v>Serious delinquency</x:v>
      </x:c>
      <x:c r="B23" s="8" t="str">
        <x:v>Inventory includes 90+ day delinquency, in-foreclosure and in-bankruptcy loans; excludes HECM.</x:v>
      </x:c>
    </x:row>
    <x:row r="24" ht="42" customHeight="1">
      <x:c r="A24" s="7" t="str">
        <x:v>Production report source</x:v>
      </x:c>
      <x:c r="B24" s="8" t="str">
        <x:v>https://www.hud.gov/sites/default/files/Housing/documents/FHAProd_AUG2026.pdf · Table 2, report page 3. Direct PDF download returned HTTP 403; no raw PDF hash is claimed.</x:v>
      </x:c>
    </x:row>
    <x:row r="25" ht="42" customHeight="1">
      <x:c r="A25" s="7" t="str">
        <x:v>Cross-report caveat</x:v>
      </x:c>
      <x:c r="B25" s="8" t="str">
        <x:v>HUD says Table 2 inventory may not reconcile fully with FHA Loan Performance Trends because timing and data sources differ.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19" hidden="0" customWidth="1"/>
    <x:col min="5" max="5" width="19" hidden="0" customWidth="1"/>
    <x:col min="6" max="6" width="19" hidden="0" customWidth="1"/>
    <x:col min="7" max="7" width="18" hidden="0" customWidth="1"/>
    <x:col min="8" max="8" width="18" hidden="0" customWidth="1"/>
    <x:col min="9" max="9" width="22" hidden="0" customWidth="1"/>
    <x:col min="10" max="10" width="12" hidden="0" customWidth="1"/>
    <x:col min="11" max="11" width="12" hidden="0" customWidth="1"/>
  </x:cols>
  <x:sheetData>
    <x:row r="1" ht="38" customHeight="1">
      <x:c r="A1" s="12" t="str">
        <x:v>Tháng</x:v>
      </x:c>
      <x:c r="B1" s="12" t="str">
        <x:v>Seasonal adjustment</x:v>
      </x:c>
      <x:c r="C1" s="12" t="str">
        <x:v>Active IIF · EOM</x:v>
      </x:c>
      <x:c r="D1" s="12" t="str">
        <x:v>30-day delinquency %</x:v>
      </x:c>
      <x:c r="E1" s="12" t="str">
        <x:v>60-day delinquency %</x:v>
      </x:c>
      <x:c r="F1" s="12" t="str">
        <x:v>90-day delinquency %</x:v>
      </x:c>
      <x:c r="G1" s="12" t="str">
        <x:v>In foreclosure %</x:v>
      </x:c>
      <x:c r="H1" s="12" t="str">
        <x:v>In bankruptcy %</x:v>
      </x:c>
      <x:c r="I1" s="12" t="str">
        <x:v>Serious delinquency %</x:v>
      </x:c>
      <x:c r="J1" s="12" t="str">
        <x:v>HUD table</x:v>
      </x:c>
      <x:c r="K1" s="12" t="str">
        <x:v>PDF page</x:v>
      </x:c>
    </x:row>
    <x:row r="2">
      <x:c r="A2" s="13" t="str">
        <x:v>2025-08</x:v>
      </x:c>
      <x:c r="B2" s="13" t="str">
        <x:v>NSA</x:v>
      </x:c>
      <x:c r="C2" s="14" t="n">
        <x:v>8120561</x:v>
      </x:c>
      <x:c r="D2" s="15" t="n">
        <x:v>5.97</x:v>
      </x:c>
      <x:c r="E2" s="15" t="n">
        <x:v>2.1</x:v>
      </x:c>
      <x:c r="F2" s="15" t="n">
        <x:v>3.53</x:v>
      </x:c>
      <x:c r="G2" s="15" t="n">
        <x:v>0.43</x:v>
      </x:c>
      <x:c r="H2" s="15" t="n">
        <x:v>0.48</x:v>
      </x:c>
      <x:c r="I2" s="15" t="n">
        <x:v>4.44</x:v>
      </x:c>
      <x:c r="J2" s="13" t="n">
        <x:v>1</x:v>
      </x:c>
      <x:c r="K2" s="13" t="n">
        <x:v>2</x:v>
      </x:c>
    </x:row>
    <x:row r="3">
      <x:c r="A3" s="13" t="str">
        <x:v>2025-09</x:v>
      </x:c>
      <x:c r="B3" s="13" t="str">
        <x:v>NSA</x:v>
      </x:c>
      <x:c r="C3" s="14" t="n">
        <x:v>8150049</x:v>
      </x:c>
      <x:c r="D3" s="15" t="n">
        <x:v>5.94</x:v>
      </x:c>
      <x:c r="E3" s="15" t="n">
        <x:v>2.1</x:v>
      </x:c>
      <x:c r="F3" s="15" t="n">
        <x:v>3.57</x:v>
      </x:c>
      <x:c r="G3" s="15" t="n">
        <x:v>0.45</x:v>
      </x:c>
      <x:c r="H3" s="15" t="n">
        <x:v>0.51</x:v>
      </x:c>
      <x:c r="I3" s="15" t="n">
        <x:v>4.53</x:v>
      </x:c>
      <x:c r="J3" s="13" t="n">
        <x:v>1</x:v>
      </x:c>
      <x:c r="K3" s="13" t="n">
        <x:v>2</x:v>
      </x:c>
    </x:row>
    <x:row r="4">
      <x:c r="A4" s="13" t="str">
        <x:v>2025-10</x:v>
      </x:c>
      <x:c r="B4" s="13" t="str">
        <x:v>NSA</x:v>
      </x:c>
      <x:c r="C4" s="14" t="n">
        <x:v>8176266</x:v>
      </x:c>
      <x:c r="D4" s="15" t="n">
        <x:v>5.5</x:v>
      </x:c>
      <x:c r="E4" s="15" t="n">
        <x:v>1.97</x:v>
      </x:c>
      <x:c r="F4" s="15" t="n">
        <x:v>3.6</x:v>
      </x:c>
      <x:c r="G4" s="15" t="n">
        <x:v>0.45</x:v>
      </x:c>
      <x:c r="H4" s="15" t="n">
        <x:v>0.51</x:v>
      </x:c>
      <x:c r="I4" s="15" t="n">
        <x:v>4.56</x:v>
      </x:c>
      <x:c r="J4" s="13" t="n">
        <x:v>1</x:v>
      </x:c>
      <x:c r="K4" s="13" t="n">
        <x:v>2</x:v>
      </x:c>
    </x:row>
    <x:row r="5">
      <x:c r="A5" s="13" t="str">
        <x:v>2025-11</x:v>
      </x:c>
      <x:c r="B5" s="13" t="str">
        <x:v>NSA</x:v>
      </x:c>
      <x:c r="C5" s="14" t="n">
        <x:v>8194450</x:v>
      </x:c>
      <x:c r="D5" s="15" t="n">
        <x:v>6.28</x:v>
      </x:c>
      <x:c r="E5" s="15" t="n">
        <x:v>2.25</x:v>
      </x:c>
      <x:c r="F5" s="15" t="n">
        <x:v>4.22</x:v>
      </x:c>
      <x:c r="G5" s="15" t="n">
        <x:v>0.46</x:v>
      </x:c>
      <x:c r="H5" s="15" t="n">
        <x:v>0.54</x:v>
      </x:c>
      <x:c r="I5" s="15" t="n">
        <x:v>5.21</x:v>
      </x:c>
      <x:c r="J5" s="13" t="n">
        <x:v>1</x:v>
      </x:c>
      <x:c r="K5" s="13" t="n">
        <x:v>2</x:v>
      </x:c>
    </x:row>
    <x:row r="6">
      <x:c r="A6" s="13" t="str">
        <x:v>2025-12</x:v>
      </x:c>
      <x:c r="B6" s="13" t="str">
        <x:v>NSA</x:v>
      </x:c>
      <x:c r="C6" s="14" t="n">
        <x:v>8218177</x:v>
      </x:c>
      <x:c r="D6" s="15" t="n">
        <x:v>5.92</x:v>
      </x:c>
      <x:c r="E6" s="15" t="n">
        <x:v>2.23</x:v>
      </x:c>
      <x:c r="F6" s="15" t="n">
        <x:v>4.81</x:v>
      </x:c>
      <x:c r="G6" s="15" t="n">
        <x:v>0.47</x:v>
      </x:c>
      <x:c r="H6" s="15" t="n">
        <x:v>0.54</x:v>
      </x:c>
      <x:c r="I6" s="15" t="n">
        <x:v>5.81</x:v>
      </x:c>
      <x:c r="J6" s="13" t="n">
        <x:v>1</x:v>
      </x:c>
      <x:c r="K6" s="13" t="n">
        <x:v>2</x:v>
      </x:c>
    </x:row>
    <x:row r="7">
      <x:c r="A7" s="13" t="str">
        <x:v>2026-01</x:v>
      </x:c>
      <x:c r="B7" s="13" t="str">
        <x:v>NSA</x:v>
      </x:c>
      <x:c r="C7" s="14" t="n">
        <x:v>8247428</x:v>
      </x:c>
      <x:c r="D7" s="15" t="n">
        <x:v>5.46</x:v>
      </x:c>
      <x:c r="E7" s="15" t="n">
        <x:v>2.08</x:v>
      </x:c>
      <x:c r="F7" s="15" t="n">
        <x:v>5.23</x:v>
      </x:c>
      <x:c r="G7" s="15" t="n">
        <x:v>0.48</x:v>
      </x:c>
      <x:c r="H7" s="15" t="n">
        <x:v>0.53</x:v>
      </x:c>
      <x:c r="I7" s="15" t="n">
        <x:v>6.24</x:v>
      </x:c>
      <x:c r="J7" s="13" t="n">
        <x:v>1</x:v>
      </x:c>
      <x:c r="K7" s="13" t="n">
        <x:v>2</x:v>
      </x:c>
    </x:row>
    <x:row r="8">
      <x:c r="A8" s="13" t="str">
        <x:v>2026-02</x:v>
      </x:c>
      <x:c r="B8" s="13" t="str">
        <x:v>NSA</x:v>
      </x:c>
      <x:c r="C8" s="14" t="n">
        <x:v>8264389</x:v>
      </x:c>
      <x:c r="D8" s="15" t="n">
        <x:v>5.54</x:v>
      </x:c>
      <x:c r="E8" s="15" t="n">
        <x:v>1.91</x:v>
      </x:c>
      <x:c r="F8" s="15" t="n">
        <x:v>5.68</x:v>
      </x:c>
      <x:c r="G8" s="15" t="n">
        <x:v>0.52</x:v>
      </x:c>
      <x:c r="H8" s="15" t="n">
        <x:v>0.54</x:v>
      </x:c>
      <x:c r="I8" s="15" t="n">
        <x:v>6.74</x:v>
      </x:c>
      <x:c r="J8" s="13" t="n">
        <x:v>1</x:v>
      </x:c>
      <x:c r="K8" s="13" t="n">
        <x:v>2</x:v>
      </x:c>
    </x:row>
    <x:row r="9">
      <x:c r="A9" s="13" t="str">
        <x:v>2026-03</x:v>
      </x:c>
      <x:c r="B9" s="13" t="str">
        <x:v>NSA</x:v>
      </x:c>
      <x:c r="C9" s="14" t="n">
        <x:v>8277765</x:v>
      </x:c>
      <x:c r="D9" s="15" t="n">
        <x:v>4.97</x:v>
      </x:c>
      <x:c r="E9" s="15" t="n">
        <x:v>1.62</x:v>
      </x:c>
      <x:c r="F9" s="15" t="n">
        <x:v>5.61</x:v>
      </x:c>
      <x:c r="G9" s="15" t="n">
        <x:v>0.52</x:v>
      </x:c>
      <x:c r="H9" s="15" t="n">
        <x:v>0.5</x:v>
      </x:c>
      <x:c r="I9" s="15" t="n">
        <x:v>6.63</x:v>
      </x:c>
      <x:c r="J9" s="13" t="n">
        <x:v>1</x:v>
      </x:c>
      <x:c r="K9" s="13" t="n">
        <x:v>2</x:v>
      </x:c>
    </x:row>
    <x:row r="10">
      <x:c r="A10" s="13" t="str">
        <x:v>2026-04</x:v>
      </x:c>
      <x:c r="B10" s="13" t="str">
        <x:v>NSA</x:v>
      </x:c>
      <x:c r="C10" s="14" t="n">
        <x:v>8296826</x:v>
      </x:c>
      <x:c r="D10" s="15" t="n">
        <x:v>4.98</x:v>
      </x:c>
      <x:c r="E10" s="15" t="n">
        <x:v>1.57</x:v>
      </x:c>
      <x:c r="F10" s="15" t="n">
        <x:v>5.49</x:v>
      </x:c>
      <x:c r="G10" s="15" t="n">
        <x:v>0.54</x:v>
      </x:c>
      <x:c r="H10" s="15" t="n">
        <x:v>0.5</x:v>
      </x:c>
      <x:c r="I10" s="15" t="n">
        <x:v>6.53</x:v>
      </x:c>
      <x:c r="J10" s="13" t="n">
        <x:v>1</x:v>
      </x:c>
      <x:c r="K10" s="13" t="n">
        <x:v>2</x:v>
      </x:c>
    </x:row>
    <x:row r="11">
      <x:c r="A11" s="13" t="str">
        <x:v>2026-05</x:v>
      </x:c>
      <x:c r="B11" s="13" t="str">
        <x:v>NSA</x:v>
      </x:c>
      <x:c r="C11" s="14" t="n">
        <x:v>8323271</x:v>
      </x:c>
      <x:c r="D11" s="15" t="n">
        <x:v>5.31</x:v>
      </x:c>
      <x:c r="E11" s="15" t="n">
        <x:v>1.66</x:v>
      </x:c>
      <x:c r="F11" s="15" t="n">
        <x:v>5.45</x:v>
      </x:c>
      <x:c r="G11" s="15" t="n">
        <x:v>0.55</x:v>
      </x:c>
      <x:c r="H11" s="15" t="n">
        <x:v>0.52</x:v>
      </x:c>
      <x:c r="I11" s="15" t="n">
        <x:v>6.53</x:v>
      </x:c>
      <x:c r="J11" s="13" t="n">
        <x:v>1</x:v>
      </x:c>
      <x:c r="K11" s="13" t="n">
        <x:v>2</x:v>
      </x:c>
    </x:row>
    <x:row r="12">
      <x:c r="A12" s="13" t="str">
        <x:v>2026-06</x:v>
      </x:c>
      <x:c r="B12" s="13" t="str">
        <x:v>NSA</x:v>
      </x:c>
      <x:c r="C12" s="14" t="n">
        <x:v>8355089</x:v>
      </x:c>
      <x:c r="D12" s="15" t="n">
        <x:v>5.51</x:v>
      </x:c>
      <x:c r="E12" s="15" t="n">
        <x:v>1.71</x:v>
      </x:c>
      <x:c r="F12" s="15" t="n">
        <x:v>5.37</x:v>
      </x:c>
      <x:c r="G12" s="15" t="n">
        <x:v>0.57</x:v>
      </x:c>
      <x:c r="H12" s="15" t="n">
        <x:v>0.53</x:v>
      </x:c>
      <x:c r="I12" s="15" t="n">
        <x:v>6.48</x:v>
      </x:c>
      <x:c r="J12" s="13" t="n">
        <x:v>1</x:v>
      </x:c>
      <x:c r="K12" s="13" t="n">
        <x:v>2</x:v>
      </x:c>
    </x:row>
    <x:row r="13">
      <x:c r="A13" s="13" t="str">
        <x:v>2026-07</x:v>
      </x:c>
      <x:c r="B13" s="13" t="str">
        <x:v>NSA</x:v>
      </x:c>
      <x:c r="C13" s="14" t="n">
        <x:v>8387103</x:v>
      </x:c>
      <x:c r="D13" s="15" t="n">
        <x:v>5.23</x:v>
      </x:c>
      <x:c r="E13" s="15" t="n">
        <x:v>1.67</x:v>
      </x:c>
      <x:c r="F13" s="15" t="n">
        <x:v>5.24</x:v>
      </x:c>
      <x:c r="G13" s="15" t="n">
        <x:v>0.6</x:v>
      </x:c>
      <x:c r="H13" s="15" t="n">
        <x:v>0.54</x:v>
      </x:c>
      <x:c r="I13" s="15" t="n">
        <x:v>6.38</x:v>
      </x:c>
      <x:c r="J13" s="13" t="n">
        <x:v>1</x:v>
      </x:c>
      <x:c r="K13" s="13" t="n">
        <x:v>2</x:v>
      </x:c>
    </x:row>
    <x:row r="14">
      <x:c r="A14" s="13" t="str">
        <x:v>2026-08</x:v>
      </x:c>
      <x:c r="B14" s="13" t="str">
        <x:v>NSA</x:v>
      </x:c>
      <x:c r="C14" s="14" t="n">
        <x:v>8416639</x:v>
      </x:c>
      <x:c r="D14" s="15" t="n">
        <x:v>5.46</x:v>
      </x:c>
      <x:c r="E14" s="15" t="n">
        <x:v>1.76</x:v>
      </x:c>
      <x:c r="F14" s="15" t="n">
        <x:v>5.24</x:v>
      </x:c>
      <x:c r="G14" s="15" t="n">
        <x:v>0.63</x:v>
      </x:c>
      <x:c r="H14" s="15" t="n">
        <x:v>0.55</x:v>
      </x:c>
      <x:c r="I14" s="15" t="n">
        <x:v>6.42</x:v>
      </x:c>
      <x:c r="J14" s="13" t="n">
        <x:v>1</x:v>
      </x:c>
      <x:c r="K14" s="13" t="n">
        <x:v>2</x:v>
      </x:c>
    </x:row>
    <x:row r="15">
      <x:c r="A15" s="13" t="str">
        <x:v>2025-08</x:v>
      </x:c>
      <x:c r="B15" s="13" t="str">
        <x:v>SA</x:v>
      </x:c>
      <x:c r="C15" s="14" t="n">
        <x:v>8120561</x:v>
      </x:c>
      <x:c r="D15" s="15" t="n">
        <x:v>5.82</x:v>
      </x:c>
      <x:c r="E15" s="15" t="n">
        <x:v>2.04</x:v>
      </x:c>
      <x:c r="F15" s="15" t="n">
        <x:v>3.67</x:v>
      </x:c>
      <x:c r="G15" s="15" t="n">
        <x:v>0.43</x:v>
      </x:c>
      <x:c r="H15" s="15" t="n">
        <x:v>0.49</x:v>
      </x:c>
      <x:c r="I15" s="15" t="n">
        <x:v>4.58</x:v>
      </x:c>
      <x:c r="J15" s="13" t="n">
        <x:v>1</x:v>
      </x:c>
      <x:c r="K15" s="13" t="n">
        <x:v>2</x:v>
      </x:c>
    </x:row>
    <x:row r="16">
      <x:c r="A16" s="13" t="str">
        <x:v>2025-09</x:v>
      </x:c>
      <x:c r="B16" s="13" t="str">
        <x:v>SA</x:v>
      </x:c>
      <x:c r="C16" s="14" t="n">
        <x:v>8150049</x:v>
      </x:c>
      <x:c r="D16" s="15" t="n">
        <x:v>5.69</x:v>
      </x:c>
      <x:c r="E16" s="15" t="n">
        <x:v>1.99</x:v>
      </x:c>
      <x:c r="F16" s="15" t="n">
        <x:v>3.59</x:v>
      </x:c>
      <x:c r="G16" s="15" t="n">
        <x:v>0.46</x:v>
      </x:c>
      <x:c r="H16" s="15" t="n">
        <x:v>0.51</x:v>
      </x:c>
      <x:c r="I16" s="15" t="n">
        <x:v>4.56</x:v>
      </x:c>
      <x:c r="J16" s="13" t="n">
        <x:v>1</x:v>
      </x:c>
      <x:c r="K16" s="13" t="n">
        <x:v>2</x:v>
      </x:c>
    </x:row>
    <x:row r="17">
      <x:c r="A17" s="13" t="str">
        <x:v>2025-10</x:v>
      </x:c>
      <x:c r="B17" s="13" t="str">
        <x:v>SA</x:v>
      </x:c>
      <x:c r="C17" s="14" t="n">
        <x:v>8176266</x:v>
      </x:c>
      <x:c r="D17" s="15" t="n">
        <x:v>5.18</x:v>
      </x:c>
      <x:c r="E17" s="15" t="n">
        <x:v>1.83</x:v>
      </x:c>
      <x:c r="F17" s="15" t="n">
        <x:v>3.55</x:v>
      </x:c>
      <x:c r="G17" s="15" t="n">
        <x:v>0.47</x:v>
      </x:c>
      <x:c r="H17" s="15" t="n">
        <x:v>0.51</x:v>
      </x:c>
      <x:c r="I17" s="15" t="n">
        <x:v>4.53</x:v>
      </x:c>
      <x:c r="J17" s="13" t="n">
        <x:v>1</x:v>
      </x:c>
      <x:c r="K17" s="13" t="n">
        <x:v>2</x:v>
      </x:c>
    </x:row>
    <x:row r="18">
      <x:c r="A18" s="13" t="str">
        <x:v>2025-11</x:v>
      </x:c>
      <x:c r="B18" s="13" t="str">
        <x:v>SA</x:v>
      </x:c>
      <x:c r="C18" s="14" t="n">
        <x:v>8194450</x:v>
      </x:c>
      <x:c r="D18" s="15" t="n">
        <x:v>5.71</x:v>
      </x:c>
      <x:c r="E18" s="15" t="n">
        <x:v>2</x:v>
      </x:c>
      <x:c r="F18" s="15" t="n">
        <x:v>3.94</x:v>
      </x:c>
      <x:c r="G18" s="15" t="n">
        <x:v>0.47</x:v>
      </x:c>
      <x:c r="H18" s="15" t="n">
        <x:v>0.54</x:v>
      </x:c>
      <x:c r="I18" s="15" t="n">
        <x:v>4.94</x:v>
      </x:c>
      <x:c r="J18" s="13" t="n">
        <x:v>1</x:v>
      </x:c>
      <x:c r="K18" s="13" t="n">
        <x:v>2</x:v>
      </x:c>
    </x:row>
    <x:row r="19">
      <x:c r="A19" s="13" t="str">
        <x:v>2025-12</x:v>
      </x:c>
      <x:c r="B19" s="13" t="str">
        <x:v>SA</x:v>
      </x:c>
      <x:c r="C19" s="14" t="n">
        <x:v>8218177</x:v>
      </x:c>
      <x:c r="D19" s="15" t="n">
        <x:v>5.26</x:v>
      </x:c>
      <x:c r="E19" s="15" t="n">
        <x:v>1.95</x:v>
      </x:c>
      <x:c r="F19" s="15" t="n">
        <x:v>4.39</x:v>
      </x:c>
      <x:c r="G19" s="15" t="n">
        <x:v>0.47</x:v>
      </x:c>
      <x:c r="H19" s="15" t="n">
        <x:v>0.54</x:v>
      </x:c>
      <x:c r="I19" s="15" t="n">
        <x:v>5.4</x:v>
      </x:c>
      <x:c r="J19" s="13" t="n">
        <x:v>1</x:v>
      </x:c>
      <x:c r="K19" s="13" t="n">
        <x:v>2</x:v>
      </x:c>
    </x:row>
    <x:row r="20">
      <x:c r="A20" s="13" t="str">
        <x:v>2026-01</x:v>
      </x:c>
      <x:c r="B20" s="13" t="str">
        <x:v>SA</x:v>
      </x:c>
      <x:c r="C20" s="14" t="n">
        <x:v>8247428</x:v>
      </x:c>
      <x:c r="D20" s="15" t="n">
        <x:v>5.24</x:v>
      </x:c>
      <x:c r="E20" s="15" t="n">
        <x:v>1.87</x:v>
      </x:c>
      <x:c r="F20" s="15" t="n">
        <x:v>4.71</x:v>
      </x:c>
      <x:c r="G20" s="15" t="n">
        <x:v>0.47</x:v>
      </x:c>
      <x:c r="H20" s="15" t="n">
        <x:v>0.53</x:v>
      </x:c>
      <x:c r="I20" s="15" t="n">
        <x:v>5.71</x:v>
      </x:c>
      <x:c r="J20" s="13" t="n">
        <x:v>1</x:v>
      </x:c>
      <x:c r="K20" s="13" t="n">
        <x:v>2</x:v>
      </x:c>
    </x:row>
    <x:row r="21">
      <x:c r="A21" s="13" t="str">
        <x:v>2026-02</x:v>
      </x:c>
      <x:c r="B21" s="13" t="str">
        <x:v>SA</x:v>
      </x:c>
      <x:c r="C21" s="14" t="n">
        <x:v>8264389</x:v>
      </x:c>
      <x:c r="D21" s="15" t="n">
        <x:v>5.65</x:v>
      </x:c>
      <x:c r="E21" s="15" t="n">
        <x:v>1.94</x:v>
      </x:c>
      <x:c r="F21" s="15" t="n">
        <x:v>5.39</x:v>
      </x:c>
      <x:c r="G21" s="15" t="n">
        <x:v>0.51</x:v>
      </x:c>
      <x:c r="H21" s="15" t="n">
        <x:v>0.54</x:v>
      </x:c>
      <x:c r="I21" s="15" t="n">
        <x:v>6.44</x:v>
      </x:c>
      <x:c r="J21" s="13" t="n">
        <x:v>1</x:v>
      </x:c>
      <x:c r="K21" s="13" t="n">
        <x:v>2</x:v>
      </x:c>
    </x:row>
    <x:row r="22">
      <x:c r="A22" s="13" t="str">
        <x:v>2026-03</x:v>
      </x:c>
      <x:c r="B22" s="13" t="str">
        <x:v>SA</x:v>
      </x:c>
      <x:c r="C22" s="14" t="n">
        <x:v>8277765</x:v>
      </x:c>
      <x:c r="D22" s="15" t="n">
        <x:v>5.75</x:v>
      </x:c>
      <x:c r="E22" s="15" t="n">
        <x:v>1.87</x:v>
      </x:c>
      <x:c r="F22" s="15" t="n">
        <x:v>5.83</x:v>
      </x:c>
      <x:c r="G22" s="15" t="n">
        <x:v>0.51</x:v>
      </x:c>
      <x:c r="H22" s="15" t="n">
        <x:v>0.5</x:v>
      </x:c>
      <x:c r="I22" s="15" t="n">
        <x:v>6.84</x:v>
      </x:c>
      <x:c r="J22" s="13" t="n">
        <x:v>1</x:v>
      </x:c>
      <x:c r="K22" s="13" t="n">
        <x:v>2</x:v>
      </x:c>
    </x:row>
    <x:row r="23">
      <x:c r="A23" s="13" t="str">
        <x:v>2026-04</x:v>
      </x:c>
      <x:c r="B23" s="13" t="str">
        <x:v>SA</x:v>
      </x:c>
      <x:c r="C23" s="14" t="n">
        <x:v>8296826</x:v>
      </x:c>
      <x:c r="D23" s="15" t="n">
        <x:v>5.44</x:v>
      </x:c>
      <x:c r="E23" s="15" t="n">
        <x:v>1.79</x:v>
      </x:c>
      <x:c r="F23" s="15" t="n">
        <x:v>5.76</x:v>
      </x:c>
      <x:c r="G23" s="15" t="n">
        <x:v>0.53</x:v>
      </x:c>
      <x:c r="H23" s="15" t="n">
        <x:v>0.49</x:v>
      </x:c>
      <x:c r="I23" s="15" t="n">
        <x:v>6.79</x:v>
      </x:c>
      <x:c r="J23" s="13" t="n">
        <x:v>1</x:v>
      </x:c>
      <x:c r="K23" s="13" t="n">
        <x:v>2</x:v>
      </x:c>
    </x:row>
    <x:row r="24">
      <x:c r="A24" s="13" t="str">
        <x:v>2026-05</x:v>
      </x:c>
      <x:c r="B24" s="13" t="str">
        <x:v>SA</x:v>
      </x:c>
      <x:c r="C24" s="14" t="n">
        <x:v>8323271</x:v>
      </x:c>
      <x:c r="D24" s="15" t="n">
        <x:v>5.66</x:v>
      </x:c>
      <x:c r="E24" s="15" t="n">
        <x:v>1.84</x:v>
      </x:c>
      <x:c r="F24" s="15" t="n">
        <x:v>5.78</x:v>
      </x:c>
      <x:c r="G24" s="15" t="n">
        <x:v>0.55</x:v>
      </x:c>
      <x:c r="H24" s="15" t="n">
        <x:v>0.52</x:v>
      </x:c>
      <x:c r="I24" s="15" t="n">
        <x:v>6.85</x:v>
      </x:c>
      <x:c r="J24" s="13" t="n">
        <x:v>1</x:v>
      </x:c>
      <x:c r="K24" s="13" t="n">
        <x:v>2</x:v>
      </x:c>
    </x:row>
    <x:row r="25">
      <x:c r="A25" s="13" t="str">
        <x:v>2026-06</x:v>
      </x:c>
      <x:c r="B25" s="13" t="str">
        <x:v>SA</x:v>
      </x:c>
      <x:c r="C25" s="14" t="n">
        <x:v>8355089</x:v>
      </x:c>
      <x:c r="D25" s="15" t="n">
        <x:v>5.59</x:v>
      </x:c>
      <x:c r="E25" s="15" t="n">
        <x:v>1.81</x:v>
      </x:c>
      <x:c r="F25" s="15" t="n">
        <x:v>5.7</x:v>
      </x:c>
      <x:c r="G25" s="15" t="n">
        <x:v>0.57</x:v>
      </x:c>
      <x:c r="H25" s="15" t="n">
        <x:v>0.53</x:v>
      </x:c>
      <x:c r="I25" s="15" t="n">
        <x:v>6.8</x:v>
      </x:c>
      <x:c r="J25" s="13" t="n">
        <x:v>1</x:v>
      </x:c>
      <x:c r="K25" s="13" t="n">
        <x:v>2</x:v>
      </x:c>
    </x:row>
    <x:row r="26">
      <x:c r="A26" s="13" t="str">
        <x:v>2026-07</x:v>
      </x:c>
      <x:c r="B26" s="13" t="str">
        <x:v>SA</x:v>
      </x:c>
      <x:c r="C26" s="14" t="n">
        <x:v>8387103</x:v>
      </x:c>
      <x:c r="D26" s="15" t="n">
        <x:v>5.36</x:v>
      </x:c>
      <x:c r="E26" s="15" t="n">
        <x:v>1.71</x:v>
      </x:c>
      <x:c r="F26" s="15" t="n">
        <x:v>5.59</x:v>
      </x:c>
      <x:c r="G26" s="15" t="n">
        <x:v>0.6</x:v>
      </x:c>
      <x:c r="H26" s="15" t="n">
        <x:v>0.55</x:v>
      </x:c>
      <x:c r="I26" s="15" t="n">
        <x:v>6.74</x:v>
      </x:c>
      <x:c r="J26" s="13" t="n">
        <x:v>1</x:v>
      </x:c>
      <x:c r="K26" s="13" t="n">
        <x:v>2</x:v>
      </x:c>
    </x:row>
    <x:row r="27">
      <x:c r="A27" s="13" t="str">
        <x:v>2026-08</x:v>
      </x:c>
      <x:c r="B27" s="13" t="str">
        <x:v>SA</x:v>
      </x:c>
      <x:c r="C27" s="14" t="n">
        <x:v>8416639</x:v>
      </x:c>
      <x:c r="D27" s="15" t="n">
        <x:v>5.32</x:v>
      </x:c>
      <x:c r="E27" s="15" t="n">
        <x:v>1.71</x:v>
      </x:c>
      <x:c r="F27" s="15" t="n">
        <x:v>5.45</x:v>
      </x:c>
      <x:c r="G27" s="15" t="n">
        <x:v>0.63</x:v>
      </x:c>
      <x:c r="H27" s="15" t="n">
        <x:v>0.55</x:v>
      </x:c>
      <x:c r="I27" s="15" t="n">
        <x:v>6.63</x:v>
      </x:c>
      <x:c r="J27" s="13" t="n">
        <x:v>1</x:v>
      </x:c>
      <x:c r="K27" s="13" t="n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16a11334ecd24d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32" hidden="0" customWidth="1"/>
    <x:col min="4" max="4" width="21" hidden="0" customWidth="1"/>
    <x:col min="5" max="5" width="19" hidden="0" customWidth="1"/>
    <x:col min="6" max="6" width="34" hidden="0" customWidth="1"/>
    <x:col min="7" max="7" width="17" hidden="0" customWidth="1"/>
    <x:col min="8" max="8" width="14" hidden="0" customWidth="1"/>
    <x:col min="9" max="9" width="14" hidden="0" customWidth="1"/>
    <x:col min="10" max="10" width="14" hidden="0" customWidth="1"/>
    <x:col min="11" max="11" width="15" hidden="0" customWidth="1"/>
    <x:col min="12" max="12" width="15" hidden="0" customWidth="1"/>
    <x:col min="13" max="13" width="22" hidden="0" customWidth="1"/>
    <x:col min="14" max="14" width="12" hidden="0" customWidth="1"/>
    <x:col min="15" max="15" width="12" hidden="0" customWidth="1"/>
  </x:cols>
  <x:sheetData>
    <x:row r="1" ht="38" customHeight="1">
      <x:c r="A1" s="12" t="str">
        <x:v>Dimension</x:v>
      </x:c>
      <x:c r="B1" s="12" t="str">
        <x:v>Parent category</x:v>
      </x:c>
      <x:c r="C1" s="12" t="str">
        <x:v>Category</x:v>
      </x:c>
      <x:c r="D1" s="12" t="str">
        <x:v>IIF count</x:v>
      </x:c>
      <x:c r="E1" s="12" t="str">
        <x:v>IIF share %</x:v>
      </x:c>
      <x:c r="F1" s="12" t="str">
        <x:v>Share denominator</x:v>
      </x:c>
      <x:c r="G1" s="12" t="str">
        <x:v>All past due %</x:v>
      </x:c>
      <x:c r="H1" s="12" t="str">
        <x:v>30-day %</x:v>
      </x:c>
      <x:c r="I1" s="12" t="str">
        <x:v>60-day %</x:v>
      </x:c>
      <x:c r="J1" s="12" t="str">
        <x:v>90+ day %</x:v>
      </x:c>
      <x:c r="K1" s="12" t="str">
        <x:v>Foreclosure %</x:v>
      </x:c>
      <x:c r="L1" s="12" t="str">
        <x:v>Bankruptcy %</x:v>
      </x:c>
      <x:c r="M1" s="12" t="str">
        <x:v>Serious delinquency %</x:v>
      </x:c>
      <x:c r="N1" s="12" t="str">
        <x:v>HUD table</x:v>
      </x:c>
      <x:c r="O1" s="12" t="str">
        <x:v>PDF page</x:v>
      </x:c>
    </x:row>
    <x:row r="2">
      <x:c r="A2" s="13" t="str">
        <x:v>Loan purpose</x:v>
      </x:c>
      <x:c r="B2" s="13" t="str">
        <x:v>—</x:v>
      </x:c>
      <x:c r="C2" s="13" t="str">
        <x:v>All active loans</x:v>
      </x:c>
      <x:c r="D2" s="14" t="n">
        <x:v>8416639</x:v>
      </x:c>
      <x:c r="E2" s="16" t="n">
        <x:v>100</x:v>
      </x:c>
      <x:c r="F2" s="13" t="str">
        <x:v>All active IIF</x:v>
      </x:c>
      <x:c r="G2" s="15" t="n">
        <x:v>13.64</x:v>
      </x:c>
      <x:c r="H2" s="15" t="n">
        <x:v>5.46</x:v>
      </x:c>
      <x:c r="I2" s="15" t="n">
        <x:v>1.76</x:v>
      </x:c>
      <x:c r="J2" s="15" t="n">
        <x:v>5.24</x:v>
      </x:c>
      <x:c r="K2" s="15" t="n">
        <x:v>0.63</x:v>
      </x:c>
      <x:c r="L2" s="15" t="n">
        <x:v>0.55</x:v>
      </x:c>
      <x:c r="M2" s="15" t="n">
        <x:v>6.42</x:v>
      </x:c>
      <x:c r="N2" s="13" t="n">
        <x:v>3</x:v>
      </x:c>
      <x:c r="O2" s="13" t="n">
        <x:v>4</x:v>
      </x:c>
    </x:row>
    <x:row r="3">
      <x:c r="A3" s="13" t="str">
        <x:v>Loan purpose</x:v>
      </x:c>
      <x:c r="B3" s="13" t="str">
        <x:v>—</x:v>
      </x:c>
      <x:c r="C3" s="13" t="str">
        <x:v>Purchase</x:v>
      </x:c>
      <x:c r="D3" s="14" t="str">
        <x:v>—</x:v>
      </x:c>
      <x:c r="E3" s="16" t="n">
        <x:v>72.97</x:v>
      </x:c>
      <x:c r="F3" s="13" t="str">
        <x:v>All active IIF</x:v>
      </x:c>
      <x:c r="G3" s="15" t="n">
        <x:v>15.1</x:v>
      </x:c>
      <x:c r="H3" s="15" t="n">
        <x:v>5.94</x:v>
      </x:c>
      <x:c r="I3" s="15" t="n">
        <x:v>1.96</x:v>
      </x:c>
      <x:c r="J3" s="15" t="n">
        <x:v>5.92</x:v>
      </x:c>
      <x:c r="K3" s="15" t="n">
        <x:v>0.71</x:v>
      </x:c>
      <x:c r="L3" s="15" t="n">
        <x:v>0.57</x:v>
      </x:c>
      <x:c r="M3" s="15" t="n">
        <x:v>7.2</x:v>
      </x:c>
      <x:c r="N3" s="13" t="n">
        <x:v>3</x:v>
      </x:c>
      <x:c r="O3" s="13" t="n">
        <x:v>4</x:v>
      </x:c>
    </x:row>
    <x:row r="4">
      <x:c r="A4" s="13" t="str">
        <x:v>Loan purpose</x:v>
      </x:c>
      <x:c r="B4" s="13" t="str">
        <x:v>—</x:v>
      </x:c>
      <x:c r="C4" s="13" t="str">
        <x:v>Refinance</x:v>
      </x:c>
      <x:c r="D4" s="14" t="n">
        <x:v>2275026</x:v>
      </x:c>
      <x:c r="E4" s="16" t="n">
        <x:v>27.03</x:v>
      </x:c>
      <x:c r="F4" s="13" t="str">
        <x:v>All active IIF</x:v>
      </x:c>
      <x:c r="G4" s="15" t="n">
        <x:v>9.69</x:v>
      </x:c>
      <x:c r="H4" s="15" t="n">
        <x:v>4.15</x:v>
      </x:c>
      <x:c r="I4" s="15" t="n">
        <x:v>1.21</x:v>
      </x:c>
      <x:c r="J4" s="15" t="n">
        <x:v>3.43</x:v>
      </x:c>
      <x:c r="K4" s="15" t="n">
        <x:v>0.4</x:v>
      </x:c>
      <x:c r="L4" s="15" t="n">
        <x:v>0.5</x:v>
      </x:c>
      <x:c r="M4" s="15" t="n">
        <x:v>4.32</x:v>
      </x:c>
      <x:c r="N4" s="13" t="n">
        <x:v>3</x:v>
      </x:c>
      <x:c r="O4" s="13" t="n">
        <x:v>4</x:v>
      </x:c>
    </x:row>
    <x:row r="5">
      <x:c r="A5" s="13" t="str">
        <x:v>Refinance</x:v>
      </x:c>
      <x:c r="B5" s="13" t="str">
        <x:v>—</x:v>
      </x:c>
      <x:c r="C5" s="13" t="str">
        <x:v>Refinance loans</x:v>
      </x:c>
      <x:c r="D5" s="14" t="n">
        <x:v>2275026</x:v>
      </x:c>
      <x:c r="E5" s="16" t="n">
        <x:v>100</x:v>
      </x:c>
      <x:c r="F5" s="13" t="str">
        <x:v>Refinance loans</x:v>
      </x:c>
      <x:c r="G5" s="15" t="n">
        <x:v>9.69</x:v>
      </x:c>
      <x:c r="H5" s="15" t="n">
        <x:v>4.15</x:v>
      </x:c>
      <x:c r="I5" s="15" t="n">
        <x:v>1.21</x:v>
      </x:c>
      <x:c r="J5" s="15" t="n">
        <x:v>3.43</x:v>
      </x:c>
      <x:c r="K5" s="15" t="n">
        <x:v>0.4</x:v>
      </x:c>
      <x:c r="L5" s="15" t="n">
        <x:v>0.5</x:v>
      </x:c>
      <x:c r="M5" s="15" t="n">
        <x:v>4.32</x:v>
      </x:c>
      <x:c r="N5" s="13" t="n">
        <x:v>3</x:v>
      </x:c>
      <x:c r="O5" s="13" t="n">
        <x:v>4</x:v>
      </x:c>
    </x:row>
    <x:row r="6">
      <x:c r="A6" s="13" t="str">
        <x:v>Refinance</x:v>
      </x:c>
      <x:c r="B6" s="13" t="str">
        <x:v>—</x:v>
      </x:c>
      <x:c r="C6" s="13" t="str">
        <x:v>Conventional</x:v>
      </x:c>
      <x:c r="D6" s="14" t="str">
        <x:v>—</x:v>
      </x:c>
      <x:c r="E6" s="16" t="n">
        <x:v>31.94</x:v>
      </x:c>
      <x:c r="F6" s="13" t="str">
        <x:v>Refinance loans</x:v>
      </x:c>
      <x:c r="G6" s="15" t="n">
        <x:v>10.65</x:v>
      </x:c>
      <x:c r="H6" s="15" t="n">
        <x:v>4.43</x:v>
      </x:c>
      <x:c r="I6" s="15" t="n">
        <x:v>1.32</x:v>
      </x:c>
      <x:c r="J6" s="15" t="n">
        <x:v>3.81</x:v>
      </x:c>
      <x:c r="K6" s="15" t="n">
        <x:v>0.54</x:v>
      </x:c>
      <x:c r="L6" s="15" t="n">
        <x:v>0.55</x:v>
      </x:c>
      <x:c r="M6" s="15" t="n">
        <x:v>4.9</x:v>
      </x:c>
      <x:c r="N6" s="13" t="n">
        <x:v>3</x:v>
      </x:c>
      <x:c r="O6" s="13" t="n">
        <x:v>4</x:v>
      </x:c>
    </x:row>
    <x:row r="7">
      <x:c r="A7" s="13" t="str">
        <x:v>Refinance</x:v>
      </x:c>
      <x:c r="B7" s="13" t="str">
        <x:v>Conventional</x:v>
      </x:c>
      <x:c r="C7" s="13" t="str">
        <x:v>No cash-out</x:v>
      </x:c>
      <x:c r="D7" s="14" t="str">
        <x:v>—</x:v>
      </x:c>
      <x:c r="E7" s="16" t="n">
        <x:v>14.27</x:v>
      </x:c>
      <x:c r="F7" s="13" t="str">
        <x:v>Refinance loans</x:v>
      </x:c>
      <x:c r="G7" s="15" t="n">
        <x:v>9.52</x:v>
      </x:c>
      <x:c r="H7" s="15" t="n">
        <x:v>4.1</x:v>
      </x:c>
      <x:c r="I7" s="15" t="n">
        <x:v>1.21</x:v>
      </x:c>
      <x:c r="J7" s="15" t="n">
        <x:v>3.23</x:v>
      </x:c>
      <x:c r="K7" s="15" t="n">
        <x:v>0.49</x:v>
      </x:c>
      <x:c r="L7" s="15" t="n">
        <x:v>0.49</x:v>
      </x:c>
      <x:c r="M7" s="15" t="n">
        <x:v>4.22</x:v>
      </x:c>
      <x:c r="N7" s="13" t="n">
        <x:v>3</x:v>
      </x:c>
      <x:c r="O7" s="13" t="n">
        <x:v>4</x:v>
      </x:c>
    </x:row>
    <x:row r="8">
      <x:c r="A8" s="13" t="str">
        <x:v>Refinance</x:v>
      </x:c>
      <x:c r="B8" s="13" t="str">
        <x:v>Conventional</x:v>
      </x:c>
      <x:c r="C8" s="13" t="str">
        <x:v>Cash-out</x:v>
      </x:c>
      <x:c r="D8" s="14" t="str">
        <x:v>—</x:v>
      </x:c>
      <x:c r="E8" s="16" t="n">
        <x:v>17.67</x:v>
      </x:c>
      <x:c r="F8" s="13" t="str">
        <x:v>Refinance loans</x:v>
      </x:c>
      <x:c r="G8" s="15" t="n">
        <x:v>11.56</x:v>
      </x:c>
      <x:c r="H8" s="15" t="n">
        <x:v>4.69</x:v>
      </x:c>
      <x:c r="I8" s="15" t="n">
        <x:v>1.41</x:v>
      </x:c>
      <x:c r="J8" s="15" t="n">
        <x:v>4.28</x:v>
      </x:c>
      <x:c r="K8" s="15" t="n">
        <x:v>0.58</x:v>
      </x:c>
      <x:c r="L8" s="15" t="n">
        <x:v>0.6</x:v>
      </x:c>
      <x:c r="M8" s="15" t="n">
        <x:v>5.46</x:v>
      </x:c>
      <x:c r="N8" s="13" t="n">
        <x:v>3</x:v>
      </x:c>
      <x:c r="O8" s="13" t="n">
        <x:v>4</x:v>
      </x:c>
    </x:row>
    <x:row r="9">
      <x:c r="A9" s="13" t="str">
        <x:v>Refinance</x:v>
      </x:c>
      <x:c r="B9" s="13" t="str">
        <x:v>—</x:v>
      </x:c>
      <x:c r="C9" s="13" t="str">
        <x:v>FHA</x:v>
      </x:c>
      <x:c r="D9" s="14" t="str">
        <x:v>—</x:v>
      </x:c>
      <x:c r="E9" s="16" t="n">
        <x:v>22.53</x:v>
      </x:c>
      <x:c r="F9" s="13" t="str">
        <x:v>Refinance loans</x:v>
      </x:c>
      <x:c r="G9" s="15" t="n">
        <x:v>11.31</x:v>
      </x:c>
      <x:c r="H9" s="15" t="n">
        <x:v>4.73</x:v>
      </x:c>
      <x:c r="I9" s="15" t="n">
        <x:v>1.38</x:v>
      </x:c>
      <x:c r="J9" s="15" t="n">
        <x:v>4.17</x:v>
      </x:c>
      <x:c r="K9" s="15" t="n">
        <x:v>0.36</x:v>
      </x:c>
      <x:c r="L9" s="15" t="n">
        <x:v>0.66</x:v>
      </x:c>
      <x:c r="M9" s="15" t="n">
        <x:v>5.2</x:v>
      </x:c>
      <x:c r="N9" s="13" t="n">
        <x:v>3</x:v>
      </x:c>
      <x:c r="O9" s="13" t="n">
        <x:v>4</x:v>
      </x:c>
    </x:row>
    <x:row r="10">
      <x:c r="A10" s="13" t="str">
        <x:v>Refinance</x:v>
      </x:c>
      <x:c r="B10" s="13" t="str">
        <x:v>FHA</x:v>
      </x:c>
      <x:c r="C10" s="13" t="str">
        <x:v>No cash-out</x:v>
      </x:c>
      <x:c r="D10" s="14" t="str">
        <x:v>—</x:v>
      </x:c>
      <x:c r="E10" s="16" t="n">
        <x:v>8.9</x:v>
      </x:c>
      <x:c r="F10" s="13" t="str">
        <x:v>Refinance loans</x:v>
      </x:c>
      <x:c r="G10" s="15" t="n">
        <x:v>9.55</x:v>
      </x:c>
      <x:c r="H10" s="15" t="n">
        <x:v>4.14</x:v>
      </x:c>
      <x:c r="I10" s="15" t="n">
        <x:v>1.17</x:v>
      </x:c>
      <x:c r="J10" s="15" t="n">
        <x:v>3.36</x:v>
      </x:c>
      <x:c r="K10" s="15" t="n">
        <x:v>0.32</x:v>
      </x:c>
      <x:c r="L10" s="15" t="n">
        <x:v>0.55</x:v>
      </x:c>
      <x:c r="M10" s="15" t="n">
        <x:v>4.23</x:v>
      </x:c>
      <x:c r="N10" s="13" t="n">
        <x:v>3</x:v>
      </x:c>
      <x:c r="O10" s="13" t="n">
        <x:v>4</x:v>
      </x:c>
    </x:row>
    <x:row r="11">
      <x:c r="A11" s="13" t="str">
        <x:v>Refinance</x:v>
      </x:c>
      <x:c r="B11" s="13" t="str">
        <x:v>FHA</x:v>
      </x:c>
      <x:c r="C11" s="13" t="str">
        <x:v>Cash-out</x:v>
      </x:c>
      <x:c r="D11" s="14" t="str">
        <x:v>—</x:v>
      </x:c>
      <x:c r="E11" s="16" t="n">
        <x:v>13.64</x:v>
      </x:c>
      <x:c r="F11" s="13" t="str">
        <x:v>Refinance loans</x:v>
      </x:c>
      <x:c r="G11" s="15" t="n">
        <x:v>12.46</x:v>
      </x:c>
      <x:c r="H11" s="15" t="n">
        <x:v>5.11</x:v>
      </x:c>
      <x:c r="I11" s="15" t="n">
        <x:v>1.51</x:v>
      </x:c>
      <x:c r="J11" s="15" t="n">
        <x:v>4.71</x:v>
      </x:c>
      <x:c r="K11" s="15" t="n">
        <x:v>0.39</x:v>
      </x:c>
      <x:c r="L11" s="15" t="n">
        <x:v>0.73</x:v>
      </x:c>
      <x:c r="M11" s="15" t="n">
        <x:v>5.83</x:v>
      </x:c>
      <x:c r="N11" s="13" t="n">
        <x:v>3</x:v>
      </x:c>
      <x:c r="O11" s="13" t="n">
        <x:v>4</x:v>
      </x:c>
    </x:row>
    <x:row r="12">
      <x:c r="A12" s="13" t="str">
        <x:v>Refinance</x:v>
      </x:c>
      <x:c r="B12" s="13" t="str">
        <x:v>—</x:v>
      </x:c>
      <x:c r="C12" s="13" t="str">
        <x:v>Streamline</x:v>
      </x:c>
      <x:c r="D12" s="14" t="str">
        <x:v>—</x:v>
      </x:c>
      <x:c r="E12" s="16" t="n">
        <x:v>45.53</x:v>
      </x:c>
      <x:c r="F12" s="13" t="str">
        <x:v>Refinance loans</x:v>
      </x:c>
      <x:c r="G12" s="15" t="n">
        <x:v>8.21</x:v>
      </x:c>
      <x:c r="H12" s="15" t="n">
        <x:v>3.68</x:v>
      </x:c>
      <x:c r="I12" s="15" t="n">
        <x:v>1.05</x:v>
      </x:c>
      <x:c r="J12" s="15" t="n">
        <x:v>2.78</x:v>
      </x:c>
      <x:c r="K12" s="15" t="n">
        <x:v>0.31</x:v>
      </x:c>
      <x:c r="L12" s="15" t="n">
        <x:v>0.39</x:v>
      </x:c>
      <x:c r="M12" s="15" t="n">
        <x:v>3.48</x:v>
      </x:c>
      <x:c r="N12" s="13" t="n">
        <x:v>3</x:v>
      </x:c>
      <x:c r="O12" s="13" t="n">
        <x:v>4</x:v>
      </x:c>
    </x:row>
    <x:row r="13">
      <x:c r="A13" s="13" t="str">
        <x:v>Origination credit score</x:v>
      </x:c>
      <x:c r="B13" s="13" t="str">
        <x:v>—</x:v>
      </x:c>
      <x:c r="C13" s="13" t="str">
        <x:v>Loans with credit scores</x:v>
      </x:c>
      <x:c r="D13" s="14" t="n">
        <x:v>7278217</x:v>
      </x:c>
      <x:c r="E13" s="16" t="str">
        <x:v>—</x:v>
      </x:c>
      <x:c r="F13" s="13" t="str">
        <x:v>Score-reported active loans</x:v>
      </x:c>
      <x:c r="G13" s="15" t="n">
        <x:v>14.23</x:v>
      </x:c>
      <x:c r="H13" s="15" t="n">
        <x:v>5.62</x:v>
      </x:c>
      <x:c r="I13" s="15" t="n">
        <x:v>1.83</x:v>
      </x:c>
      <x:c r="J13" s="15" t="n">
        <x:v>5.55</x:v>
      </x:c>
      <x:c r="K13" s="15" t="n">
        <x:v>0.66</x:v>
      </x:c>
      <x:c r="L13" s="15" t="n">
        <x:v>0.57</x:v>
      </x:c>
      <x:c r="M13" s="15" t="n">
        <x:v>6.79</x:v>
      </x:c>
      <x:c r="N13" s="13" t="n">
        <x:v>3</x:v>
      </x:c>
      <x:c r="O13" s="13" t="n">
        <x:v>4</x:v>
      </x:c>
    </x:row>
    <x:row r="14">
      <x:c r="A14" s="13" t="str">
        <x:v>Origination credit score</x:v>
      </x:c>
      <x:c r="B14" s="13" t="str">
        <x:v>—</x:v>
      </x:c>
      <x:c r="C14" s="13" t="str">
        <x:v>&lt; 500</x:v>
      </x:c>
      <x:c r="D14" s="14" t="str">
        <x:v>—</x:v>
      </x:c>
      <x:c r="E14" s="16" t="n">
        <x:v>0.06</x:v>
      </x:c>
      <x:c r="F14" s="13" t="str">
        <x:v>Fully-underwritten loans</x:v>
      </x:c>
      <x:c r="G14" s="15" t="n">
        <x:v>23.97</x:v>
      </x:c>
      <x:c r="H14" s="15" t="n">
        <x:v>9.37</x:v>
      </x:c>
      <x:c r="I14" s="15" t="n">
        <x:v>3.32</x:v>
      </x:c>
      <x:c r="J14" s="15" t="n">
        <x:v>8.59</x:v>
      </x:c>
      <x:c r="K14" s="15" t="n">
        <x:v>1.28</x:v>
      </x:c>
      <x:c r="L14" s="15" t="n">
        <x:v>1.4</x:v>
      </x:c>
      <x:c r="M14" s="15" t="n">
        <x:v>11.28</x:v>
      </x:c>
      <x:c r="N14" s="13" t="n">
        <x:v>3</x:v>
      </x:c>
      <x:c r="O14" s="13" t="n">
        <x:v>4</x:v>
      </x:c>
    </x:row>
    <x:row r="15">
      <x:c r="A15" s="13" t="str">
        <x:v>Origination credit score</x:v>
      </x:c>
      <x:c r="B15" s="13" t="str">
        <x:v>—</x:v>
      </x:c>
      <x:c r="C15" s="13" t="str">
        <x:v>500-579</x:v>
      </x:c>
      <x:c r="D15" s="14" t="str">
        <x:v>—</x:v>
      </x:c>
      <x:c r="E15" s="16" t="n">
        <x:v>1.64</x:v>
      </x:c>
      <x:c r="F15" s="13" t="str">
        <x:v>Fully-underwritten loans</x:v>
      </x:c>
      <x:c r="G15" s="15" t="n">
        <x:v>23.25</x:v>
      </x:c>
      <x:c r="H15" s="15" t="n">
        <x:v>8.92</x:v>
      </x:c>
      <x:c r="I15" s="15" t="n">
        <x:v>2.95</x:v>
      </x:c>
      <x:c r="J15" s="15" t="n">
        <x:v>9.4</x:v>
      </x:c>
      <x:c r="K15" s="15" t="n">
        <x:v>0.92</x:v>
      </x:c>
      <x:c r="L15" s="15" t="n">
        <x:v>1.04</x:v>
      </x:c>
      <x:c r="M15" s="15" t="n">
        <x:v>11.37</x:v>
      </x:c>
      <x:c r="N15" s="13" t="n">
        <x:v>3</x:v>
      </x:c>
      <x:c r="O15" s="13" t="n">
        <x:v>4</x:v>
      </x:c>
    </x:row>
    <x:row r="16">
      <x:c r="A16" s="13" t="str">
        <x:v>Origination credit score</x:v>
      </x:c>
      <x:c r="B16" s="13" t="str">
        <x:v>—</x:v>
      </x:c>
      <x:c r="C16" s="13" t="str">
        <x:v>580-619</x:v>
      </x:c>
      <x:c r="D16" s="14" t="str">
        <x:v>—</x:v>
      </x:c>
      <x:c r="E16" s="16" t="n">
        <x:v>9.05</x:v>
      </x:c>
      <x:c r="F16" s="13" t="str">
        <x:v>Fully-underwritten loans</x:v>
      </x:c>
      <x:c r="G16" s="15" t="n">
        <x:v>23.95</x:v>
      </x:c>
      <x:c r="H16" s="15" t="n">
        <x:v>8.96</x:v>
      </x:c>
      <x:c r="I16" s="15" t="n">
        <x:v>3.12</x:v>
      </x:c>
      <x:c r="J16" s="15" t="n">
        <x:v>9.85</x:v>
      </x:c>
      <x:c r="K16" s="15" t="n">
        <x:v>1.12</x:v>
      </x:c>
      <x:c r="L16" s="15" t="n">
        <x:v>0.91</x:v>
      </x:c>
      <x:c r="M16" s="15" t="n">
        <x:v>11.87</x:v>
      </x:c>
      <x:c r="N16" s="13" t="n">
        <x:v>3</x:v>
      </x:c>
      <x:c r="O16" s="13" t="n">
        <x:v>4</x:v>
      </x:c>
    </x:row>
    <x:row r="17">
      <x:c r="A17" s="13" t="str">
        <x:v>Origination credit score</x:v>
      </x:c>
      <x:c r="B17" s="13" t="str">
        <x:v>—</x:v>
      </x:c>
      <x:c r="C17" s="13" t="str">
        <x:v>620-659</x:v>
      </x:c>
      <x:c r="D17" s="14" t="str">
        <x:v>—</x:v>
      </x:c>
      <x:c r="E17" s="16" t="n">
        <x:v>32.16</x:v>
      </x:c>
      <x:c r="F17" s="13" t="str">
        <x:v>Fully-underwritten loans</x:v>
      </x:c>
      <x:c r="G17" s="15" t="n">
        <x:v>19.91</x:v>
      </x:c>
      <x:c r="H17" s="15" t="n">
        <x:v>7.79</x:v>
      </x:c>
      <x:c r="I17" s="15" t="n">
        <x:v>2.57</x:v>
      </x:c>
      <x:c r="J17" s="15" t="n">
        <x:v>7.86</x:v>
      </x:c>
      <x:c r="K17" s="15" t="n">
        <x:v>0.9</x:v>
      </x:c>
      <x:c r="L17" s="15" t="n">
        <x:v>0.8</x:v>
      </x:c>
      <x:c r="M17" s="15" t="n">
        <x:v>9.56</x:v>
      </x:c>
      <x:c r="N17" s="13" t="n">
        <x:v>3</x:v>
      </x:c>
      <x:c r="O17" s="13" t="n">
        <x:v>4</x:v>
      </x:c>
    </x:row>
    <x:row r="18">
      <x:c r="A18" s="13" t="str">
        <x:v>Origination credit score</x:v>
      </x:c>
      <x:c r="B18" s="13" t="str">
        <x:v>—</x:v>
      </x:c>
      <x:c r="C18" s="13" t="str">
        <x:v>660-719</x:v>
      </x:c>
      <x:c r="D18" s="14" t="str">
        <x:v>—</x:v>
      </x:c>
      <x:c r="E18" s="16" t="n">
        <x:v>38.95</x:v>
      </x:c>
      <x:c r="F18" s="13" t="str">
        <x:v>Fully-underwritten loans</x:v>
      </x:c>
      <x:c r="G18" s="15" t="n">
        <x:v>11.51</x:v>
      </x:c>
      <x:c r="H18" s="15" t="n">
        <x:v>4.67</x:v>
      </x:c>
      <x:c r="I18" s="15" t="n">
        <x:v>1.46</x:v>
      </x:c>
      <x:c r="J18" s="15" t="n">
        <x:v>4.36</x:v>
      </x:c>
      <x:c r="K18" s="15" t="n">
        <x:v>0.54</x:v>
      </x:c>
      <x:c r="L18" s="15" t="n">
        <x:v>0.47</x:v>
      </x:c>
      <x:c r="M18" s="15" t="n">
        <x:v>5.37</x:v>
      </x:c>
      <x:c r="N18" s="13" t="n">
        <x:v>3</x:v>
      </x:c>
      <x:c r="O18" s="13" t="n">
        <x:v>4</x:v>
      </x:c>
    </x:row>
    <x:row r="19">
      <x:c r="A19" s="13" t="str">
        <x:v>Origination credit score</x:v>
      </x:c>
      <x:c r="B19" s="13" t="str">
        <x:v>—</x:v>
      </x:c>
      <x:c r="C19" s="13" t="str">
        <x:v>720-850</x:v>
      </x:c>
      <x:c r="D19" s="14" t="str">
        <x:v>—</x:v>
      </x:c>
      <x:c r="E19" s="16" t="n">
        <x:v>18.15</x:v>
      </x:c>
      <x:c r="F19" s="13" t="str">
        <x:v>Fully-underwritten loans</x:v>
      </x:c>
      <x:c r="G19" s="15" t="n">
        <x:v>4.32</x:v>
      </x:c>
      <x:c r="H19" s="15" t="n">
        <x:v>1.84</x:v>
      </x:c>
      <x:c r="I19" s="15" t="n">
        <x:v>0.54</x:v>
      </x:c>
      <x:c r="J19" s="15" t="n">
        <x:v>1.54</x:v>
      </x:c>
      <x:c r="K19" s="15" t="n">
        <x:v>0.25</x:v>
      </x:c>
      <x:c r="L19" s="15" t="n">
        <x:v>0.14</x:v>
      </x:c>
      <x:c r="M19" s="15" t="n">
        <x:v>1.94</x:v>
      </x:c>
      <x:c r="N19" s="13" t="n">
        <x:v>3</x:v>
      </x:c>
      <x:c r="O19" s="13" t="n">
        <x:v>4</x:v>
      </x:c>
    </x:row>
    <x:row r="20">
      <x:c r="A20" s="13" t="str">
        <x:v>Fiscal-year cohort</x:v>
      </x:c>
      <x:c r="B20" s="13" t="str">
        <x:v>—</x:v>
      </x:c>
      <x:c r="C20" s="13" t="str">
        <x:v>All cohorts</x:v>
      </x:c>
      <x:c r="D20" s="14" t="n">
        <x:v>8416639</x:v>
      </x:c>
      <x:c r="E20" s="16" t="n">
        <x:v>100</x:v>
      </x:c>
      <x:c r="F20" s="13" t="str">
        <x:v>All active IIF</x:v>
      </x:c>
      <x:c r="G20" s="15" t="n">
        <x:v>13.64</x:v>
      </x:c>
      <x:c r="H20" s="15" t="n">
        <x:v>5.46</x:v>
      </x:c>
      <x:c r="I20" s="15" t="n">
        <x:v>1.76</x:v>
      </x:c>
      <x:c r="J20" s="15" t="n">
        <x:v>5.24</x:v>
      </x:c>
      <x:c r="K20" s="15" t="n">
        <x:v>0.63</x:v>
      </x:c>
      <x:c r="L20" s="15" t="n">
        <x:v>0.55</x:v>
      </x:c>
      <x:c r="M20" s="15" t="n">
        <x:v>6.42</x:v>
      </x:c>
      <x:c r="N20" s="13" t="n">
        <x:v>3</x:v>
      </x:c>
      <x:c r="O20" s="13" t="n">
        <x:v>4</x:v>
      </x:c>
    </x:row>
    <x:row r="21">
      <x:c r="A21" s="13" t="str">
        <x:v>Fiscal-year cohort</x:v>
      </x:c>
      <x:c r="B21" s="13" t="str">
        <x:v>—</x:v>
      </x:c>
      <x:c r="C21" s="13" t="str">
        <x:v>Pre-2011</x:v>
      </x:c>
      <x:c r="D21" s="14" t="str">
        <x:v>—</x:v>
      </x:c>
      <x:c r="E21" s="16" t="n">
        <x:v>10.94</x:v>
      </x:c>
      <x:c r="F21" s="13" t="str">
        <x:v>All active IIF</x:v>
      </x:c>
      <x:c r="G21" s="15" t="n">
        <x:v>13.66</x:v>
      </x:c>
      <x:c r="H21" s="15" t="n">
        <x:v>6.2</x:v>
      </x:c>
      <x:c r="I21" s="15" t="n">
        <x:v>1.84</x:v>
      </x:c>
      <x:c r="J21" s="15" t="n">
        <x:v>4.39</x:v>
      </x:c>
      <x:c r="K21" s="15" t="n">
        <x:v>0.63</x:v>
      </x:c>
      <x:c r="L21" s="15" t="n">
        <x:v>0.59</x:v>
      </x:c>
      <x:c r="M21" s="15" t="n">
        <x:v>5.61</x:v>
      </x:c>
      <x:c r="N21" s="13" t="n">
        <x:v>3</x:v>
      </x:c>
      <x:c r="O21" s="13" t="n">
        <x:v>4</x:v>
      </x:c>
    </x:row>
    <x:row r="22">
      <x:c r="A22" s="13" t="str">
        <x:v>Fiscal-year cohort</x:v>
      </x:c>
      <x:c r="B22" s="13" t="str">
        <x:v>—</x:v>
      </x:c>
      <x:c r="C22" s="13" t="n">
        <x:v>2011</x:v>
      </x:c>
      <x:c r="D22" s="14" t="str">
        <x:v>—</x:v>
      </x:c>
      <x:c r="E22" s="16" t="n">
        <x:v>2.01</x:v>
      </x:c>
      <x:c r="F22" s="13" t="str">
        <x:v>All active IIF</x:v>
      </x:c>
      <x:c r="G22" s="15" t="n">
        <x:v>9.59</x:v>
      </x:c>
      <x:c r="H22" s="15" t="n">
        <x:v>4.49</x:v>
      </x:c>
      <x:c r="I22" s="15" t="n">
        <x:v>1.27</x:v>
      </x:c>
      <x:c r="J22" s="15" t="n">
        <x:v>3.13</x:v>
      </x:c>
      <x:c r="K22" s="15" t="n">
        <x:v>0.36</x:v>
      </x:c>
      <x:c r="L22" s="15" t="n">
        <x:v>0.35</x:v>
      </x:c>
      <x:c r="M22" s="15" t="n">
        <x:v>3.84</x:v>
      </x:c>
      <x:c r="N22" s="13" t="n">
        <x:v>3</x:v>
      </x:c>
      <x:c r="O22" s="13" t="n">
        <x:v>4</x:v>
      </x:c>
    </x:row>
    <x:row r="23">
      <x:c r="A23" s="13" t="str">
        <x:v>Fiscal-year cohort</x:v>
      </x:c>
      <x:c r="B23" s="13" t="str">
        <x:v>—</x:v>
      </x:c>
      <x:c r="C23" s="13" t="n">
        <x:v>2012</x:v>
      </x:c>
      <x:c r="D23" s="14" t="str">
        <x:v>—</x:v>
      </x:c>
      <x:c r="E23" s="16" t="n">
        <x:v>2.65</x:v>
      </x:c>
      <x:c r="F23" s="13" t="str">
        <x:v>All active IIF</x:v>
      </x:c>
      <x:c r="G23" s="15" t="n">
        <x:v>7.93</x:v>
      </x:c>
      <x:c r="H23" s="15" t="n">
        <x:v>3.74</x:v>
      </x:c>
      <x:c r="I23" s="15" t="n">
        <x:v>1.08</x:v>
      </x:c>
      <x:c r="J23" s="15" t="n">
        <x:v>2.51</x:v>
      </x:c>
      <x:c r="K23" s="15" t="n">
        <x:v>0.29</x:v>
      </x:c>
      <x:c r="L23" s="15" t="n">
        <x:v>0.31</x:v>
      </x:c>
      <x:c r="M23" s="15" t="n">
        <x:v>3.11</x:v>
      </x:c>
      <x:c r="N23" s="13" t="n">
        <x:v>3</x:v>
      </x:c>
      <x:c r="O23" s="13" t="n">
        <x:v>4</x:v>
      </x:c>
    </x:row>
    <x:row r="24">
      <x:c r="A24" s="13" t="str">
        <x:v>Fiscal-year cohort</x:v>
      </x:c>
      <x:c r="B24" s="13" t="str">
        <x:v>—</x:v>
      </x:c>
      <x:c r="C24" s="13" t="n">
        <x:v>2013</x:v>
      </x:c>
      <x:c r="D24" s="14" t="str">
        <x:v>—</x:v>
      </x:c>
      <x:c r="E24" s="16" t="n">
        <x:v>3.84</x:v>
      </x:c>
      <x:c r="F24" s="13" t="str">
        <x:v>All active IIF</x:v>
      </x:c>
      <x:c r="G24" s="15" t="n">
        <x:v>6.58</x:v>
      </x:c>
      <x:c r="H24" s="15" t="n">
        <x:v>3.12</x:v>
      </x:c>
      <x:c r="I24" s="15" t="n">
        <x:v>0.87</x:v>
      </x:c>
      <x:c r="J24" s="15" t="n">
        <x:v>2.07</x:v>
      </x:c>
      <x:c r="K24" s="15" t="n">
        <x:v>0.25</x:v>
      </x:c>
      <x:c r="L24" s="15" t="n">
        <x:v>0.26</x:v>
      </x:c>
      <x:c r="M24" s="15" t="n">
        <x:v>2.59</x:v>
      </x:c>
      <x:c r="N24" s="13" t="n">
        <x:v>3</x:v>
      </x:c>
      <x:c r="O24" s="13" t="n">
        <x:v>4</x:v>
      </x:c>
    </x:row>
    <x:row r="25">
      <x:c r="A25" s="13" t="str">
        <x:v>Fiscal-year cohort</x:v>
      </x:c>
      <x:c r="B25" s="13" t="str">
        <x:v>—</x:v>
      </x:c>
      <x:c r="C25" s="13" t="n">
        <x:v>2014</x:v>
      </x:c>
      <x:c r="D25" s="14" t="str">
        <x:v>—</x:v>
      </x:c>
      <x:c r="E25" s="16" t="n">
        <x:v>1.6</x:v>
      </x:c>
      <x:c r="F25" s="13" t="str">
        <x:v>All active IIF</x:v>
      </x:c>
      <x:c r="G25" s="15" t="n">
        <x:v>12.23</x:v>
      </x:c>
      <x:c r="H25" s="15" t="n">
        <x:v>5.4</x:v>
      </x:c>
      <x:c r="I25" s="15" t="n">
        <x:v>1.68</x:v>
      </x:c>
      <x:c r="J25" s="15" t="n">
        <x:v>4.08</x:v>
      </x:c>
      <x:c r="K25" s="15" t="n">
        <x:v>0.53</x:v>
      </x:c>
      <x:c r="L25" s="15" t="n">
        <x:v>0.54</x:v>
      </x:c>
      <x:c r="M25" s="15" t="n">
        <x:v>5.15</x:v>
      </x:c>
      <x:c r="N25" s="13" t="n">
        <x:v>3</x:v>
      </x:c>
      <x:c r="O25" s="13" t="n">
        <x:v>4</x:v>
      </x:c>
    </x:row>
    <x:row r="26">
      <x:c r="A26" s="13" t="str">
        <x:v>Fiscal-year cohort</x:v>
      </x:c>
      <x:c r="B26" s="13" t="str">
        <x:v>—</x:v>
      </x:c>
      <x:c r="C26" s="13" t="n">
        <x:v>2015</x:v>
      </x:c>
      <x:c r="D26" s="14" t="str">
        <x:v>—</x:v>
      </x:c>
      <x:c r="E26" s="16" t="n">
        <x:v>2.7</x:v>
      </x:c>
      <x:c r="F26" s="13" t="str">
        <x:v>All active IIF</x:v>
      </x:c>
      <x:c r="G26" s="15" t="n">
        <x:v>12.43</x:v>
      </x:c>
      <x:c r="H26" s="15" t="n">
        <x:v>5.42</x:v>
      </x:c>
      <x:c r="I26" s="15" t="n">
        <x:v>1.66</x:v>
      </x:c>
      <x:c r="J26" s="15" t="n">
        <x:v>4.3</x:v>
      </x:c>
      <x:c r="K26" s="15" t="n">
        <x:v>0.52</x:v>
      </x:c>
      <x:c r="L26" s="15" t="n">
        <x:v>0.52</x:v>
      </x:c>
      <x:c r="M26" s="15" t="n">
        <x:v>5.34</x:v>
      </x:c>
      <x:c r="N26" s="13" t="n">
        <x:v>3</x:v>
      </x:c>
      <x:c r="O26" s="13" t="n">
        <x:v>4</x:v>
      </x:c>
    </x:row>
    <x:row r="27">
      <x:c r="A27" s="13" t="str">
        <x:v>Fiscal-year cohort</x:v>
      </x:c>
      <x:c r="B27" s="13" t="str">
        <x:v>—</x:v>
      </x:c>
      <x:c r="C27" s="13" t="n">
        <x:v>2016</x:v>
      </x:c>
      <x:c r="D27" s="14" t="str">
        <x:v>—</x:v>
      </x:c>
      <x:c r="E27" s="16" t="n">
        <x:v>3.82</x:v>
      </x:c>
      <x:c r="F27" s="13" t="str">
        <x:v>All active IIF</x:v>
      </x:c>
      <x:c r="G27" s="15" t="n">
        <x:v>12.59</x:v>
      </x:c>
      <x:c r="H27" s="15" t="n">
        <x:v>5.52</x:v>
      </x:c>
      <x:c r="I27" s="15" t="n">
        <x:v>1.66</x:v>
      </x:c>
      <x:c r="J27" s="15" t="n">
        <x:v>4.31</x:v>
      </x:c>
      <x:c r="K27" s="15" t="n">
        <x:v>0.54</x:v>
      </x:c>
      <x:c r="L27" s="15" t="n">
        <x:v>0.56</x:v>
      </x:c>
      <x:c r="M27" s="15" t="n">
        <x:v>5.41</x:v>
      </x:c>
      <x:c r="N27" s="13" t="n">
        <x:v>3</x:v>
      </x:c>
      <x:c r="O27" s="13" t="n">
        <x:v>4</x:v>
      </x:c>
    </x:row>
    <x:row r="28">
      <x:c r="A28" s="13" t="str">
        <x:v>Fiscal-year cohort</x:v>
      </x:c>
      <x:c r="B28" s="13" t="str">
        <x:v>—</x:v>
      </x:c>
      <x:c r="C28" s="13" t="n">
        <x:v>2017</x:v>
      </x:c>
      <x:c r="D28" s="14" t="str">
        <x:v>—</x:v>
      </x:c>
      <x:c r="E28" s="16" t="n">
        <x:v>4.21</x:v>
      </x:c>
      <x:c r="F28" s="13" t="str">
        <x:v>All active IIF</x:v>
      </x:c>
      <x:c r="G28" s="15" t="n">
        <x:v>14.09</x:v>
      </x:c>
      <x:c r="H28" s="15" t="n">
        <x:v>6</x:v>
      </x:c>
      <x:c r="I28" s="15" t="n">
        <x:v>1.83</x:v>
      </x:c>
      <x:c r="J28" s="15" t="n">
        <x:v>5.05</x:v>
      </x:c>
      <x:c r="K28" s="15" t="n">
        <x:v>0.61</x:v>
      </x:c>
      <x:c r="L28" s="15" t="n">
        <x:v>0.6</x:v>
      </x:c>
      <x:c r="M28" s="15" t="n">
        <x:v>6.26</x:v>
      </x:c>
      <x:c r="N28" s="13" t="n">
        <x:v>3</x:v>
      </x:c>
      <x:c r="O28" s="13" t="n">
        <x:v>4</x:v>
      </x:c>
    </x:row>
    <x:row r="29">
      <x:c r="A29" s="13" t="str">
        <x:v>Fiscal-year cohort</x:v>
      </x:c>
      <x:c r="B29" s="13" t="str">
        <x:v>—</x:v>
      </x:c>
      <x:c r="C29" s="13" t="n">
        <x:v>2018</x:v>
      </x:c>
      <x:c r="D29" s="14" t="str">
        <x:v>—</x:v>
      </x:c>
      <x:c r="E29" s="16" t="n">
        <x:v>3.38</x:v>
      </x:c>
      <x:c r="F29" s="13" t="str">
        <x:v>All active IIF</x:v>
      </x:c>
      <x:c r="G29" s="15" t="n">
        <x:v>18.34</x:v>
      </x:c>
      <x:c r="H29" s="15" t="n">
        <x:v>7.28</x:v>
      </x:c>
      <x:c r="I29" s="15" t="n">
        <x:v>2.31</x:v>
      </x:c>
      <x:c r="J29" s="15" t="n">
        <x:v>7</x:v>
      </x:c>
      <x:c r="K29" s="15" t="n">
        <x:v>0.89</x:v>
      </x:c>
      <x:c r="L29" s="15" t="n">
        <x:v>0.86</x:v>
      </x:c>
      <x:c r="M29" s="15" t="n">
        <x:v>8.75</x:v>
      </x:c>
      <x:c r="N29" s="13" t="n">
        <x:v>3</x:v>
      </x:c>
      <x:c r="O29" s="13" t="n">
        <x:v>4</x:v>
      </x:c>
    </x:row>
    <x:row r="30">
      <x:c r="A30" s="13" t="str">
        <x:v>Fiscal-year cohort</x:v>
      </x:c>
      <x:c r="B30" s="13" t="str">
        <x:v>—</x:v>
      </x:c>
      <x:c r="C30" s="13" t="n">
        <x:v>2019</x:v>
      </x:c>
      <x:c r="D30" s="14" t="str">
        <x:v>—</x:v>
      </x:c>
      <x:c r="E30" s="16" t="n">
        <x:v>3.41</x:v>
      </x:c>
      <x:c r="F30" s="13" t="str">
        <x:v>All active IIF</x:v>
      </x:c>
      <x:c r="G30" s="15" t="n">
        <x:v>20.23</x:v>
      </x:c>
      <x:c r="H30" s="15" t="n">
        <x:v>7.69</x:v>
      </x:c>
      <x:c r="I30" s="15" t="n">
        <x:v>2.54</x:v>
      </x:c>
      <x:c r="J30" s="15" t="n">
        <x:v>7.99</x:v>
      </x:c>
      <x:c r="K30" s="15" t="n">
        <x:v>1.05</x:v>
      </x:c>
      <x:c r="L30" s="15" t="n">
        <x:v>0.95</x:v>
      </x:c>
      <x:c r="M30" s="15" t="n">
        <x:v>9.99</x:v>
      </x:c>
      <x:c r="N30" s="13" t="n">
        <x:v>3</x:v>
      </x:c>
      <x:c r="O30" s="13" t="n">
        <x:v>4</x:v>
      </x:c>
    </x:row>
    <x:row r="31">
      <x:c r="A31" s="13" t="str">
        <x:v>Fiscal-year cohort</x:v>
      </x:c>
      <x:c r="B31" s="13" t="str">
        <x:v>—</x:v>
      </x:c>
      <x:c r="C31" s="13" t="n">
        <x:v>2020</x:v>
      </x:c>
      <x:c r="D31" s="14" t="str">
        <x:v>—</x:v>
      </x:c>
      <x:c r="E31" s="16" t="n">
        <x:v>6.99</x:v>
      </x:c>
      <x:c r="F31" s="13" t="str">
        <x:v>All active IIF</x:v>
      </x:c>
      <x:c r="G31" s="15" t="n">
        <x:v>14.54</x:v>
      </x:c>
      <x:c r="H31" s="15" t="n">
        <x:v>5.8</x:v>
      </x:c>
      <x:c r="I31" s="15" t="n">
        <x:v>1.82</x:v>
      </x:c>
      <x:c r="J31" s="15" t="n">
        <x:v>5.58</x:v>
      </x:c>
      <x:c r="K31" s="15" t="n">
        <x:v>0.64</x:v>
      </x:c>
      <x:c r="L31" s="15" t="n">
        <x:v>0.69</x:v>
      </x:c>
      <x:c r="M31" s="15" t="n">
        <x:v>6.92</x:v>
      </x:c>
      <x:c r="N31" s="13" t="n">
        <x:v>3</x:v>
      </x:c>
      <x:c r="O31" s="13" t="n">
        <x:v>4</x:v>
      </x:c>
    </x:row>
    <x:row r="32">
      <x:c r="A32" s="13" t="str">
        <x:v>Fiscal-year cohort</x:v>
      </x:c>
      <x:c r="B32" s="13" t="str">
        <x:v>—</x:v>
      </x:c>
      <x:c r="C32" s="13" t="n">
        <x:v>2021</x:v>
      </x:c>
      <x:c r="D32" s="14" t="str">
        <x:v>—</x:v>
      </x:c>
      <x:c r="E32" s="16" t="n">
        <x:v>11.96</x:v>
      </x:c>
      <x:c r="F32" s="13" t="str">
        <x:v>All active IIF</x:v>
      </x:c>
      <x:c r="G32" s="15" t="n">
        <x:v>14.29</x:v>
      </x:c>
      <x:c r="H32" s="15" t="n">
        <x:v>5.78</x:v>
      </x:c>
      <x:c r="I32" s="15" t="n">
        <x:v>1.82</x:v>
      </x:c>
      <x:c r="J32" s="15" t="n">
        <x:v>5.44</x:v>
      </x:c>
      <x:c r="K32" s="15" t="n">
        <x:v>0.56</x:v>
      </x:c>
      <x:c r="L32" s="15" t="n">
        <x:v>0.69</x:v>
      </x:c>
      <x:c r="M32" s="15" t="n">
        <x:v>6.68</x:v>
      </x:c>
      <x:c r="N32" s="13" t="n">
        <x:v>3</x:v>
      </x:c>
      <x:c r="O32" s="13" t="n">
        <x:v>4</x:v>
      </x:c>
    </x:row>
    <x:row r="33">
      <x:c r="A33" s="13" t="str">
        <x:v>Fiscal-year cohort</x:v>
      </x:c>
      <x:c r="B33" s="13" t="str">
        <x:v>—</x:v>
      </x:c>
      <x:c r="C33" s="13" t="n">
        <x:v>2022</x:v>
      </x:c>
      <x:c r="D33" s="14" t="str">
        <x:v>—</x:v>
      </x:c>
      <x:c r="E33" s="16" t="n">
        <x:v>9.5</x:v>
      </x:c>
      <x:c r="F33" s="13" t="str">
        <x:v>All active IIF</x:v>
      </x:c>
      <x:c r="G33" s="15" t="n">
        <x:v>19.33</x:v>
      </x:c>
      <x:c r="H33" s="15" t="n">
        <x:v>7.06</x:v>
      </x:c>
      <x:c r="I33" s="15" t="n">
        <x:v>2.36</x:v>
      </x:c>
      <x:c r="J33" s="15" t="n">
        <x:v>7.97</x:v>
      </x:c>
      <x:c r="K33" s="15" t="n">
        <x:v>1.03</x:v>
      </x:c>
      <x:c r="L33" s="15" t="n">
        <x:v>0.91</x:v>
      </x:c>
      <x:c r="M33" s="15" t="n">
        <x:v>9.91</x:v>
      </x:c>
      <x:c r="N33" s="13" t="n">
        <x:v>3</x:v>
      </x:c>
      <x:c r="O33" s="13" t="n">
        <x:v>4</x:v>
      </x:c>
    </x:row>
    <x:row r="34">
      <x:c r="A34" s="13" t="str">
        <x:v>Fiscal-year cohort</x:v>
      </x:c>
      <x:c r="B34" s="13" t="str">
        <x:v>—</x:v>
      </x:c>
      <x:c r="C34" s="13" t="n">
        <x:v>2023</x:v>
      </x:c>
      <x:c r="D34" s="14" t="str">
        <x:v>—</x:v>
      </x:c>
      <x:c r="E34" s="16" t="n">
        <x:v>6.71</x:v>
      </x:c>
      <x:c r="F34" s="13" t="str">
        <x:v>All active IIF</x:v>
      </x:c>
      <x:c r="G34" s="15" t="n">
        <x:v>20.22</x:v>
      </x:c>
      <x:c r="H34" s="15" t="n">
        <x:v>6.75</x:v>
      </x:c>
      <x:c r="I34" s="15" t="n">
        <x:v>2.36</x:v>
      </x:c>
      <x:c r="J34" s="15" t="n">
        <x:v>9.07</x:v>
      </x:c>
      <x:c r="K34" s="15" t="n">
        <x:v>1.28</x:v>
      </x:c>
      <x:c r="L34" s="15" t="n">
        <x:v>0.77</x:v>
      </x:c>
      <x:c r="M34" s="15" t="n">
        <x:v>11.11</x:v>
      </x:c>
      <x:c r="N34" s="13" t="n">
        <x:v>3</x:v>
      </x:c>
      <x:c r="O34" s="13" t="n">
        <x:v>4</x:v>
      </x:c>
    </x:row>
    <x:row r="35">
      <x:c r="A35" s="13" t="str">
        <x:v>Fiscal-year cohort</x:v>
      </x:c>
      <x:c r="B35" s="13" t="str">
        <x:v>—</x:v>
      </x:c>
      <x:c r="C35" s="13" t="n">
        <x:v>2024</x:v>
      </x:c>
      <x:c r="D35" s="14" t="str">
        <x:v>—</x:v>
      </x:c>
      <x:c r="E35" s="16" t="n">
        <x:v>6.96</x:v>
      </x:c>
      <x:c r="F35" s="13" t="str">
        <x:v>All active IIF</x:v>
      </x:c>
      <x:c r="G35" s="15" t="n">
        <x:v>16.84</x:v>
      </x:c>
      <x:c r="H35" s="15" t="n">
        <x:v>5.79</x:v>
      </x:c>
      <x:c r="I35" s="15" t="n">
        <x:v>2.04</x:v>
      </x:c>
      <x:c r="J35" s="15" t="n">
        <x:v>7.63</x:v>
      </x:c>
      <x:c r="K35" s="15" t="n">
        <x:v>0.9</x:v>
      </x:c>
      <x:c r="L35" s="15" t="n">
        <x:v>0.47</x:v>
      </x:c>
      <x:c r="M35" s="15" t="n">
        <x:v>9.01</x:v>
      </x:c>
      <x:c r="N35" s="13" t="n">
        <x:v>3</x:v>
      </x:c>
      <x:c r="O35" s="13" t="n">
        <x:v>4</x:v>
      </x:c>
    </x:row>
    <x:row r="36">
      <x:c r="A36" s="13" t="str">
        <x:v>Fiscal-year cohort</x:v>
      </x:c>
      <x:c r="B36" s="13" t="str">
        <x:v>—</x:v>
      </x:c>
      <x:c r="C36" s="13" t="n">
        <x:v>2025</x:v>
      </x:c>
      <x:c r="D36" s="14" t="str">
        <x:v>—</x:v>
      </x:c>
      <x:c r="E36" s="16" t="n">
        <x:v>9.21</x:v>
      </x:c>
      <x:c r="F36" s="13" t="str">
        <x:v>All active IIF</x:v>
      </x:c>
      <x:c r="G36" s="15" t="n">
        <x:v>11.72</x:v>
      </x:c>
      <x:c r="H36" s="15" t="n">
        <x:v>4.49</x:v>
      </x:c>
      <x:c r="I36" s="15" t="n">
        <x:v>1.63</x:v>
      </x:c>
      <x:c r="J36" s="15" t="n">
        <x:v>4.94</x:v>
      </x:c>
      <x:c r="K36" s="15" t="n">
        <x:v>0.39</x:v>
      </x:c>
      <x:c r="L36" s="15" t="n">
        <x:v>0.26</x:v>
      </x:c>
      <x:c r="M36" s="15" t="n">
        <x:v>5.6</x:v>
      </x:c>
      <x:c r="N36" s="13" t="n">
        <x:v>3</x:v>
      </x:c>
      <x:c r="O36" s="13" t="n">
        <x:v>4</x:v>
      </x:c>
    </x:row>
    <x:row r="37">
      <x:c r="A37" s="13" t="str">
        <x:v>Fiscal-year cohort</x:v>
      </x:c>
      <x:c r="B37" s="13" t="str">
        <x:v>—</x:v>
      </x:c>
      <x:c r="C37" s="13" t="n">
        <x:v>2026</x:v>
      </x:c>
      <x:c r="D37" s="14" t="str">
        <x:v>—</x:v>
      </x:c>
      <x:c r="E37" s="16" t="n">
        <x:v>10.11</x:v>
      </x:c>
      <x:c r="F37" s="13" t="str">
        <x:v>All active IIF</x:v>
      </x:c>
      <x:c r="G37" s="15" t="n">
        <x:v>4</x:v>
      </x:c>
      <x:c r="H37" s="15" t="n">
        <x:v>2.26</x:v>
      </x:c>
      <x:c r="I37" s="15" t="n">
        <x:v>0.73</x:v>
      </x:c>
      <x:c r="J37" s="15" t="n">
        <x:v>0.94</x:v>
      </x:c>
      <x:c r="K37" s="15" t="n">
        <x:v>0.04</x:v>
      </x:c>
      <x:c r="L37" s="15" t="n">
        <x:v>0.04</x:v>
      </x:c>
      <x:c r="M37" s="15" t="n">
        <x:v>1.02</x:v>
      </x:c>
      <x:c r="N37" s="13" t="n">
        <x:v>3</x:v>
      </x:c>
      <x:c r="O37" s="13" t="n">
        <x:v>5</x:v>
      </x:c>
    </x:row>
    <x:row r="38">
      <x:c r="A38" s="13" t="str">
        <x:v>Loan amount at origination</x:v>
      </x:c>
      <x:c r="B38" s="13" t="str">
        <x:v>—</x:v>
      </x:c>
      <x:c r="C38" s="13" t="str">
        <x:v>All loan amounts</x:v>
      </x:c>
      <x:c r="D38" s="14" t="n">
        <x:v>8416639</x:v>
      </x:c>
      <x:c r="E38" s="16" t="n">
        <x:v>100</x:v>
      </x:c>
      <x:c r="F38" s="13" t="str">
        <x:v>All active IIF</x:v>
      </x:c>
      <x:c r="G38" s="15" t="n">
        <x:v>13.64</x:v>
      </x:c>
      <x:c r="H38" s="15" t="n">
        <x:v>5.46</x:v>
      </x:c>
      <x:c r="I38" s="15" t="n">
        <x:v>1.76</x:v>
      </x:c>
      <x:c r="J38" s="15" t="n">
        <x:v>5.24</x:v>
      </x:c>
      <x:c r="K38" s="15" t="n">
        <x:v>0.63</x:v>
      </x:c>
      <x:c r="L38" s="15" t="n">
        <x:v>0.55</x:v>
      </x:c>
      <x:c r="M38" s="15" t="n">
        <x:v>6.42</x:v>
      </x:c>
      <x:c r="N38" s="13" t="n">
        <x:v>3</x:v>
      </x:c>
      <x:c r="O38" s="13" t="n">
        <x:v>5</x:v>
      </x:c>
    </x:row>
    <x:row r="39">
      <x:c r="A39" s="13" t="str">
        <x:v>Loan amount at origination</x:v>
      </x:c>
      <x:c r="B39" s="13" t="str">
        <x:v>—</x:v>
      </x:c>
      <x:c r="C39" s="13" t="str">
        <x:v>&lt; 50</x:v>
      </x:c>
      <x:c r="D39" s="14" t="str">
        <x:v>—</x:v>
      </x:c>
      <x:c r="E39" s="16" t="n">
        <x:v>1.1</x:v>
      </x:c>
      <x:c r="F39" s="13" t="str">
        <x:v>All active IIF</x:v>
      </x:c>
      <x:c r="G39" s="15" t="n">
        <x:v>13.47</x:v>
      </x:c>
      <x:c r="H39" s="15" t="n">
        <x:v>6.02</x:v>
      </x:c>
      <x:c r="I39" s="15" t="n">
        <x:v>1.86</x:v>
      </x:c>
      <x:c r="J39" s="15" t="n">
        <x:v>4.13</x:v>
      </x:c>
      <x:c r="K39" s="15" t="n">
        <x:v>0.88</x:v>
      </x:c>
      <x:c r="L39" s="15" t="n">
        <x:v>0.58</x:v>
      </x:c>
      <x:c r="M39" s="15" t="n">
        <x:v>5.58</x:v>
      </x:c>
      <x:c r="N39" s="13" t="n">
        <x:v>3</x:v>
      </x:c>
      <x:c r="O39" s="13" t="n">
        <x:v>5</x:v>
      </x:c>
    </x:row>
    <x:row r="40">
      <x:c r="A40" s="13" t="str">
        <x:v>Loan amount at origination</x:v>
      </x:c>
      <x:c r="B40" s="13" t="str">
        <x:v>—</x:v>
      </x:c>
      <x:c r="C40" s="13" t="str">
        <x:v>50-99</x:v>
      </x:c>
      <x:c r="D40" s="14" t="str">
        <x:v>—</x:v>
      </x:c>
      <x:c r="E40" s="16" t="n">
        <x:v>12.4</x:v>
      </x:c>
      <x:c r="F40" s="13" t="str">
        <x:v>All active IIF</x:v>
      </x:c>
      <x:c r="G40" s="15" t="n">
        <x:v>12.57</x:v>
      </x:c>
      <x:c r="H40" s="15" t="n">
        <x:v>5.59</x:v>
      </x:c>
      <x:c r="I40" s="15" t="n">
        <x:v>1.68</x:v>
      </x:c>
      <x:c r="J40" s="15" t="n">
        <x:v>4.03</x:v>
      </x:c>
      <x:c r="K40" s="15" t="n">
        <x:v>0.67</x:v>
      </x:c>
      <x:c r="L40" s="15" t="n">
        <x:v>0.59</x:v>
      </x:c>
      <x:c r="M40" s="15" t="n">
        <x:v>5.3</x:v>
      </x:c>
      <x:c r="N40" s="13" t="n">
        <x:v>3</x:v>
      </x:c>
      <x:c r="O40" s="13" t="n">
        <x:v>5</x:v>
      </x:c>
    </x:row>
    <x:row r="41">
      <x:c r="A41" s="13" t="str">
        <x:v>Loan amount at origination</x:v>
      </x:c>
      <x:c r="B41" s="13" t="str">
        <x:v>—</x:v>
      </x:c>
      <x:c r="C41" s="13" t="str">
        <x:v>100-149</x:v>
      </x:c>
      <x:c r="D41" s="14" t="str">
        <x:v>—</x:v>
      </x:c>
      <x:c r="E41" s="16" t="n">
        <x:v>18.1</x:v>
      </x:c>
      <x:c r="F41" s="13" t="str">
        <x:v>All active IIF</x:v>
      </x:c>
      <x:c r="G41" s="15" t="n">
        <x:v>13.31</x:v>
      </x:c>
      <x:c r="H41" s="15" t="n">
        <x:v>5.68</x:v>
      </x:c>
      <x:c r="I41" s="15" t="n">
        <x:v>1.74</x:v>
      </x:c>
      <x:c r="J41" s="15" t="n">
        <x:v>4.62</x:v>
      </x:c>
      <x:c r="K41" s="15" t="n">
        <x:v>0.62</x:v>
      </x:c>
      <x:c r="L41" s="15" t="n">
        <x:v>0.64</x:v>
      </x:c>
      <x:c r="M41" s="15" t="n">
        <x:v>5.88</x:v>
      </x:c>
      <x:c r="N41" s="13" t="n">
        <x:v>3</x:v>
      </x:c>
      <x:c r="O41" s="13" t="n">
        <x:v>5</x:v>
      </x:c>
    </x:row>
    <x:row r="42">
      <x:c r="A42" s="13" t="str">
        <x:v>Loan amount at origination</x:v>
      </x:c>
      <x:c r="B42" s="13" t="str">
        <x:v>—</x:v>
      </x:c>
      <x:c r="C42" s="13" t="str">
        <x:v>150-199</x:v>
      </x:c>
      <x:c r="D42" s="14" t="str">
        <x:v>—</x:v>
      </x:c>
      <x:c r="E42" s="16" t="n">
        <x:v>17.36</x:v>
      </x:c>
      <x:c r="F42" s="13" t="str">
        <x:v>All active IIF</x:v>
      </x:c>
      <x:c r="G42" s="15" t="n">
        <x:v>14.25</x:v>
      </x:c>
      <x:c r="H42" s="15" t="n">
        <x:v>5.85</x:v>
      </x:c>
      <x:c r="I42" s="15" t="n">
        <x:v>1.86</x:v>
      </x:c>
      <x:c r="J42" s="15" t="n">
        <x:v>5.25</x:v>
      </x:c>
      <x:c r="K42" s="15" t="n">
        <x:v>0.65</x:v>
      </x:c>
      <x:c r="L42" s="15" t="n">
        <x:v>0.63</x:v>
      </x:c>
      <x:c r="M42" s="15" t="n">
        <x:v>6.54</x:v>
      </x:c>
      <x:c r="N42" s="13" t="n">
        <x:v>3</x:v>
      </x:c>
      <x:c r="O42" s="13" t="n">
        <x:v>5</x:v>
      </x:c>
    </x:row>
    <x:row r="43">
      <x:c r="A43" s="13" t="str">
        <x:v>Loan amount at origination</x:v>
      </x:c>
      <x:c r="B43" s="13" t="str">
        <x:v>—</x:v>
      </x:c>
      <x:c r="C43" s="13" t="str">
        <x:v>200-249</x:v>
      </x:c>
      <x:c r="D43" s="14" t="str">
        <x:v>—</x:v>
      </x:c>
      <x:c r="E43" s="16" t="n">
        <x:v>14.51</x:v>
      </x:c>
      <x:c r="F43" s="13" t="str">
        <x:v>All active IIF</x:v>
      </x:c>
      <x:c r="G43" s="15" t="n">
        <x:v>14.23</x:v>
      </x:c>
      <x:c r="H43" s="15" t="n">
        <x:v>5.67</x:v>
      </x:c>
      <x:c r="I43" s="15" t="n">
        <x:v>1.82</x:v>
      </x:c>
      <x:c r="J43" s="15" t="n">
        <x:v>5.54</x:v>
      </x:c>
      <x:c r="K43" s="15" t="n">
        <x:v>0.62</x:v>
      </x:c>
      <x:c r="L43" s="15" t="n">
        <x:v>0.58</x:v>
      </x:c>
      <x:c r="M43" s="15" t="n">
        <x:v>6.74</x:v>
      </x:c>
      <x:c r="N43" s="13" t="n">
        <x:v>3</x:v>
      </x:c>
      <x:c r="O43" s="13" t="n">
        <x:v>5</x:v>
      </x:c>
    </x:row>
    <x:row r="44">
      <x:c r="A44" s="13" t="str">
        <x:v>Loan amount at origination</x:v>
      </x:c>
      <x:c r="B44" s="13" t="str">
        <x:v>—</x:v>
      </x:c>
      <x:c r="C44" s="13" t="str">
        <x:v>250-399</x:v>
      </x:c>
      <x:c r="D44" s="14" t="str">
        <x:v>—</x:v>
      </x:c>
      <x:c r="E44" s="16" t="n">
        <x:v>26.36</x:v>
      </x:c>
      <x:c r="F44" s="13" t="str">
        <x:v>All active IIF</x:v>
      </x:c>
      <x:c r="G44" s="15" t="n">
        <x:v>13.97</x:v>
      </x:c>
      <x:c r="H44" s="15" t="n">
        <x:v>5.24</x:v>
      </x:c>
      <x:c r="I44" s="15" t="n">
        <x:v>1.77</x:v>
      </x:c>
      <x:c r="J44" s="15" t="n">
        <x:v>5.87</x:v>
      </x:c>
      <x:c r="K44" s="15" t="n">
        <x:v>0.6</x:v>
      </x:c>
      <x:c r="L44" s="15" t="n">
        <x:v>0.49</x:v>
      </x:c>
      <x:c r="M44" s="15" t="n">
        <x:v>6.96</x:v>
      </x:c>
      <x:c r="N44" s="13" t="n">
        <x:v>3</x:v>
      </x:c>
      <x:c r="O44" s="13" t="n">
        <x:v>5</x:v>
      </x:c>
    </x:row>
    <x:row r="45">
      <x:c r="A45" s="13" t="str">
        <x:v>Loan amount at origination</x:v>
      </x:c>
      <x:c r="B45" s="13" t="str">
        <x:v>—</x:v>
      </x:c>
      <x:c r="C45" s="13" t="str">
        <x:v>400-499</x:v>
      </x:c>
      <x:c r="D45" s="14" t="str">
        <x:v>—</x:v>
      </x:c>
      <x:c r="E45" s="16" t="n">
        <x:v>6.14</x:v>
      </x:c>
      <x:c r="F45" s="13" t="str">
        <x:v>All active IIF</x:v>
      </x:c>
      <x:c r="G45" s="15" t="n">
        <x:v>13.23</x:v>
      </x:c>
      <x:c r="H45" s="15" t="n">
        <x:v>4.65</x:v>
      </x:c>
      <x:c r="I45" s="15" t="n">
        <x:v>1.65</x:v>
      </x:c>
      <x:c r="J45" s="15" t="n">
        <x:v>6</x:v>
      </x:c>
      <x:c r="K45" s="15" t="n">
        <x:v>0.56</x:v>
      </x:c>
      <x:c r="L45" s="15" t="n">
        <x:v>0.37</x:v>
      </x:c>
      <x:c r="M45" s="15" t="n">
        <x:v>6.93</x:v>
      </x:c>
      <x:c r="N45" s="13" t="n">
        <x:v>3</x:v>
      </x:c>
      <x:c r="O45" s="13" t="n">
        <x:v>5</x:v>
      </x:c>
    </x:row>
    <x:row r="46">
      <x:c r="A46" s="13" t="str">
        <x:v>Loan amount at origination</x:v>
      </x:c>
      <x:c r="B46" s="13" t="str">
        <x:v>—</x:v>
      </x:c>
      <x:c r="C46" s="13" t="str">
        <x:v>&gt; 499</x:v>
      </x:c>
      <x:c r="D46" s="14" t="str">
        <x:v>—</x:v>
      </x:c>
      <x:c r="E46" s="16" t="n">
        <x:v>4.03</x:v>
      </x:c>
      <x:c r="F46" s="13" t="str">
        <x:v>All active IIF</x:v>
      </x:c>
      <x:c r="G46" s="15" t="n">
        <x:v>12.16</x:v>
      </x:c>
      <x:c r="H46" s="15" t="n">
        <x:v>4.1</x:v>
      </x:c>
      <x:c r="I46" s="15" t="n">
        <x:v>1.5</x:v>
      </x:c>
      <x:c r="J46" s="15" t="n">
        <x:v>5.73</x:v>
      </x:c>
      <x:c r="K46" s="15" t="n">
        <x:v>0.57</x:v>
      </x:c>
      <x:c r="L46" s="15" t="n">
        <x:v>0.26</x:v>
      </x:c>
      <x:c r="M46" s="15" t="n">
        <x:v>6.56</x:v>
      </x:c>
      <x:c r="N46" s="13" t="n">
        <x:v>3</x:v>
      </x:c>
      <x:c r="O46" s="13" t="n">
        <x:v>5</x:v>
      </x:c>
    </x:row>
    <x:row r="47">
      <x:c r="A47" s="13" t="str">
        <x:v>Property type</x:v>
      </x:c>
      <x:c r="B47" s="13" t="str">
        <x:v>—</x:v>
      </x:c>
      <x:c r="C47" s="13" t="str">
        <x:v>All property types</x:v>
      </x:c>
      <x:c r="D47" s="14" t="n">
        <x:v>8416639</x:v>
      </x:c>
      <x:c r="E47" s="16" t="n">
        <x:v>100</x:v>
      </x:c>
      <x:c r="F47" s="13" t="str">
        <x:v>All active IIF</x:v>
      </x:c>
      <x:c r="G47" s="15" t="n">
        <x:v>13.64</x:v>
      </x:c>
      <x:c r="H47" s="15" t="n">
        <x:v>5.46</x:v>
      </x:c>
      <x:c r="I47" s="15" t="n">
        <x:v>1.76</x:v>
      </x:c>
      <x:c r="J47" s="15" t="n">
        <x:v>5.24</x:v>
      </x:c>
      <x:c r="K47" s="15" t="n">
        <x:v>0.63</x:v>
      </x:c>
      <x:c r="L47" s="15" t="n">
        <x:v>0.55</x:v>
      </x:c>
      <x:c r="M47" s="15" t="n">
        <x:v>6.42</x:v>
      </x:c>
      <x:c r="N47" s="13" t="n">
        <x:v>3</x:v>
      </x:c>
      <x:c r="O47" s="13" t="n">
        <x:v>5</x:v>
      </x:c>
    </x:row>
    <x:row r="48">
      <x:c r="A48" s="13" t="str">
        <x:v>Property type</x:v>
      </x:c>
      <x:c r="B48" s="13" t="str">
        <x:v>—</x:v>
      </x:c>
      <x:c r="C48" s="13" t="str">
        <x:v>Detached</x:v>
      </x:c>
      <x:c r="D48" s="14" t="str">
        <x:v>—</x:v>
      </x:c>
      <x:c r="E48" s="16" t="n">
        <x:v>85.26</x:v>
      </x:c>
      <x:c r="F48" s="13" t="str">
        <x:v>All active IIF</x:v>
      </x:c>
      <x:c r="G48" s="15" t="n">
        <x:v>13.8</x:v>
      </x:c>
      <x:c r="H48" s="15" t="n">
        <x:v>5.55</x:v>
      </x:c>
      <x:c r="I48" s="15" t="n">
        <x:v>1.78</x:v>
      </x:c>
      <x:c r="J48" s="15" t="n">
        <x:v>5.29</x:v>
      </x:c>
      <x:c r="K48" s="15" t="n">
        <x:v>0.61</x:v>
      </x:c>
      <x:c r="L48" s="15" t="n">
        <x:v>0.56</x:v>
      </x:c>
      <x:c r="M48" s="15" t="n">
        <x:v>6.46</x:v>
      </x:c>
      <x:c r="N48" s="13" t="n">
        <x:v>3</x:v>
      </x:c>
      <x:c r="O48" s="13" t="n">
        <x:v>5</x:v>
      </x:c>
    </x:row>
    <x:row r="49">
      <x:c r="A49" s="13" t="str">
        <x:v>Property type</x:v>
      </x:c>
      <x:c r="B49" s="13" t="str">
        <x:v>—</x:v>
      </x:c>
      <x:c r="C49" s="13" t="str">
        <x:v>Manufactured housing</x:v>
      </x:c>
      <x:c r="D49" s="14" t="str">
        <x:v>—</x:v>
      </x:c>
      <x:c r="E49" s="16" t="n">
        <x:v>4.09</x:v>
      </x:c>
      <x:c r="F49" s="13" t="str">
        <x:v>All active IIF</x:v>
      </x:c>
      <x:c r="G49" s="15" t="n">
        <x:v>12.83</x:v>
      </x:c>
      <x:c r="H49" s="15" t="n">
        <x:v>5.42</x:v>
      </x:c>
      <x:c r="I49" s="15" t="n">
        <x:v>1.64</x:v>
      </x:c>
      <x:c r="J49" s="15" t="n">
        <x:v>4.47</x:v>
      </x:c>
      <x:c r="K49" s="15" t="n">
        <x:v>0.78</x:v>
      </x:c>
      <x:c r="L49" s="15" t="n">
        <x:v>0.53</x:v>
      </x:c>
      <x:c r="M49" s="15" t="n">
        <x:v>5.78</x:v>
      </x:c>
      <x:c r="N49" s="13" t="n">
        <x:v>3</x:v>
      </x:c>
      <x:c r="O49" s="13" t="n">
        <x:v>5</x:v>
      </x:c>
    </x:row>
    <x:row r="50">
      <x:c r="A50" s="13" t="str">
        <x:v>Property type</x:v>
      </x:c>
      <x:c r="B50" s="13" t="str">
        <x:v>—</x:v>
      </x:c>
      <x:c r="C50" s="13" t="str">
        <x:v>2-4 units</x:v>
      </x:c>
      <x:c r="D50" s="14" t="str">
        <x:v>—</x:v>
      </x:c>
      <x:c r="E50" s="16" t="n">
        <x:v>2.46</x:v>
      </x:c>
      <x:c r="F50" s="13" t="str">
        <x:v>All active IIF</x:v>
      </x:c>
      <x:c r="G50" s="15" t="n">
        <x:v>10.92</x:v>
      </x:c>
      <x:c r="H50" s="15" t="n">
        <x:v>4.1</x:v>
      </x:c>
      <x:c r="I50" s="15" t="n">
        <x:v>1.35</x:v>
      </x:c>
      <x:c r="J50" s="15" t="n">
        <x:v>4.37</x:v>
      </x:c>
      <x:c r="K50" s="15" t="n">
        <x:v>0.86</x:v>
      </x:c>
      <x:c r="L50" s="15" t="n">
        <x:v>0.26</x:v>
      </x:c>
      <x:c r="M50" s="15" t="n">
        <x:v>5.48</x:v>
      </x:c>
      <x:c r="N50" s="13" t="n">
        <x:v>3</x:v>
      </x:c>
      <x:c r="O50" s="13" t="n">
        <x:v>5</x:v>
      </x:c>
    </x:row>
    <x:row r="51">
      <x:c r="A51" s="13" t="str">
        <x:v>Property type</x:v>
      </x:c>
      <x:c r="B51" s="13" t="str">
        <x:v>—</x:v>
      </x:c>
      <x:c r="C51" s="13" t="str">
        <x:v>Condo</x:v>
      </x:c>
      <x:c r="D51" s="14" t="str">
        <x:v>—</x:v>
      </x:c>
      <x:c r="E51" s="16" t="n">
        <x:v>2.2</x:v>
      </x:c>
      <x:c r="F51" s="13" t="str">
        <x:v>All active IIF</x:v>
      </x:c>
      <x:c r="G51" s="15" t="n">
        <x:v>10.15</x:v>
      </x:c>
      <x:c r="H51" s="15" t="n">
        <x:v>3.82</x:v>
      </x:c>
      <x:c r="I51" s="15" t="n">
        <x:v>1.26</x:v>
      </x:c>
      <x:c r="J51" s="15" t="n">
        <x:v>4.04</x:v>
      </x:c>
      <x:c r="K51" s="15" t="n">
        <x:v>0.56</x:v>
      </x:c>
      <x:c r="L51" s="15" t="n">
        <x:v>0.47</x:v>
      </x:c>
      <x:c r="M51" s="15" t="n">
        <x:v>5.08</x:v>
      </x:c>
      <x:c r="N51" s="13" t="n">
        <x:v>3</x:v>
      </x:c>
      <x:c r="O51" s="13" t="n">
        <x:v>5</x:v>
      </x:c>
    </x:row>
    <x:row r="52">
      <x:c r="A52" s="13" t="str">
        <x:v>Property type</x:v>
      </x:c>
      <x:c r="B52" s="13" t="str">
        <x:v>—</x:v>
      </x:c>
      <x:c r="C52" s="13" t="str">
        <x:v>Townhouse</x:v>
      </x:c>
      <x:c r="D52" s="14" t="str">
        <x:v>—</x:v>
      </x:c>
      <x:c r="E52" s="16" t="n">
        <x:v>5.99</x:v>
      </x:c>
      <x:c r="F52" s="13" t="str">
        <x:v>All active IIF</x:v>
      </x:c>
      <x:c r="G52" s="15" t="n">
        <x:v>14.3</x:v>
      </x:c>
      <x:c r="H52" s="15" t="n">
        <x:v>5.34</x:v>
      </x:c>
      <x:c r="I52" s="15" t="n">
        <x:v>1.84</x:v>
      </x:c>
      <x:c r="J52" s="15" t="n">
        <x:v>5.9</x:v>
      </x:c>
      <x:c r="K52" s="15" t="n">
        <x:v>0.7</x:v>
      </x:c>
      <x:c r="L52" s="15" t="n">
        <x:v>0.51</x:v>
      </x:c>
      <x:c r="M52" s="15" t="n">
        <x:v>7.12</x:v>
      </x:c>
      <x:c r="N52" s="13" t="n">
        <x:v>3</x:v>
      </x:c>
      <x:c r="O52" s="13" t="n">
        <x:v>5</x:v>
      </x:c>
    </x:row>
    <x:row r="53">
      <x:c r="A53" s="13" t="str">
        <x:v>Purchase loan type</x:v>
      </x:c>
      <x:c r="B53" s="13" t="str">
        <x:v>—</x:v>
      </x:c>
      <x:c r="C53" s="13" t="str">
        <x:v>All purchase loans</x:v>
      </x:c>
      <x:c r="D53" s="14" t="n">
        <x:v>6141413</x:v>
      </x:c>
      <x:c r="E53" s="16" t="n">
        <x:v>100</x:v>
      </x:c>
      <x:c r="F53" s="13" t="str">
        <x:v>Purchase loans</x:v>
      </x:c>
      <x:c r="G53" s="15" t="n">
        <x:v>15.1</x:v>
      </x:c>
      <x:c r="H53" s="15" t="n">
        <x:v>5.94</x:v>
      </x:c>
      <x:c r="I53" s="15" t="n">
        <x:v>1.96</x:v>
      </x:c>
      <x:c r="J53" s="15" t="n">
        <x:v>5.92</x:v>
      </x:c>
      <x:c r="K53" s="15" t="n">
        <x:v>0.71</x:v>
      </x:c>
      <x:c r="L53" s="15" t="n">
        <x:v>0.57</x:v>
      </x:c>
      <x:c r="M53" s="15" t="n">
        <x:v>7.2</x:v>
      </x:c>
      <x:c r="N53" s="13" t="n">
        <x:v>3</x:v>
      </x:c>
      <x:c r="O53" s="13" t="n">
        <x:v>5</x:v>
      </x:c>
    </x:row>
    <x:row r="54">
      <x:c r="A54" s="13" t="str">
        <x:v>Purchase loan type</x:v>
      </x:c>
      <x:c r="B54" s="13" t="str">
        <x:v>—</x:v>
      </x:c>
      <x:c r="C54" s="13" t="str">
        <x:v>Repeat</x:v>
      </x:c>
      <x:c r="D54" s="14" t="str">
        <x:v>—</x:v>
      </x:c>
      <x:c r="E54" s="16" t="n">
        <x:v>14.55</x:v>
      </x:c>
      <x:c r="F54" s="13" t="str">
        <x:v>Purchase loans</x:v>
      </x:c>
      <x:c r="G54" s="15" t="n">
        <x:v>12.42</x:v>
      </x:c>
      <x:c r="H54" s="15" t="n">
        <x:v>5.03</x:v>
      </x:c>
      <x:c r="I54" s="15" t="n">
        <x:v>1.56</x:v>
      </x:c>
      <x:c r="J54" s="15" t="n">
        <x:v>4.7</x:v>
      </x:c>
      <x:c r="K54" s="15" t="n">
        <x:v>0.59</x:v>
      </x:c>
      <x:c r="L54" s="15" t="n">
        <x:v>0.54</x:v>
      </x:c>
      <x:c r="M54" s="15" t="n">
        <x:v>5.82</x:v>
      </x:c>
      <x:c r="N54" s="13" t="n">
        <x:v>3</x:v>
      </x:c>
      <x:c r="O54" s="13" t="n">
        <x:v>5</x:v>
      </x:c>
    </x:row>
    <x:row r="55">
      <x:c r="A55" s="13" t="str">
        <x:v>Purchase loan type</x:v>
      </x:c>
      <x:c r="B55" s="13" t="str">
        <x:v>—</x:v>
      </x:c>
      <x:c r="C55" s="13" t="str">
        <x:v>First-time</x:v>
      </x:c>
      <x:c r="D55" s="14" t="str">
        <x:v>—</x:v>
      </x:c>
      <x:c r="E55" s="16" t="n">
        <x:v>85.45</x:v>
      </x:c>
      <x:c r="F55" s="13" t="str">
        <x:v>Purchase loans</x:v>
      </x:c>
      <x:c r="G55" s="15" t="n">
        <x:v>15.56</x:v>
      </x:c>
      <x:c r="H55" s="15" t="n">
        <x:v>6.1</x:v>
      </x:c>
      <x:c r="I55" s="15" t="n">
        <x:v>2.03</x:v>
      </x:c>
      <x:c r="J55" s="15" t="n">
        <x:v>6.13</x:v>
      </x:c>
      <x:c r="K55" s="15" t="n">
        <x:v>0.73</x:v>
      </x:c>
      <x:c r="L55" s="15" t="n">
        <x:v>0.57</x:v>
      </x:c>
      <x:c r="M55" s="15" t="n">
        <x:v>7.43</x:v>
      </x:c>
      <x:c r="N55" s="13" t="n">
        <x:v>3</x:v>
      </x:c>
      <x:c r="O55" s="13" t="n">
        <x:v>5</x:v>
      </x:c>
    </x:row>
    <x:row r="56">
      <x:c r="A56" s="13" t="str">
        <x:v>Down payment assistance</x:v>
      </x:c>
      <x:c r="B56" s="13" t="str">
        <x:v>—</x:v>
      </x:c>
      <x:c r="C56" s="13" t="str">
        <x:v>All sources of funds</x:v>
      </x:c>
      <x:c r="D56" s="14" t="n">
        <x:v>8416639</x:v>
      </x:c>
      <x:c r="E56" s="16" t="n">
        <x:v>100</x:v>
      </x:c>
      <x:c r="F56" s="13" t="str">
        <x:v>All active IIF</x:v>
      </x:c>
      <x:c r="G56" s="15" t="n">
        <x:v>13.64</x:v>
      </x:c>
      <x:c r="H56" s="15" t="n">
        <x:v>5.46</x:v>
      </x:c>
      <x:c r="I56" s="15" t="n">
        <x:v>1.76</x:v>
      </x:c>
      <x:c r="J56" s="15" t="n">
        <x:v>5.24</x:v>
      </x:c>
      <x:c r="K56" s="15" t="n">
        <x:v>0.63</x:v>
      </x:c>
      <x:c r="L56" s="15" t="n">
        <x:v>0.55</x:v>
      </x:c>
      <x:c r="M56" s="15" t="n">
        <x:v>6.42</x:v>
      </x:c>
      <x:c r="N56" s="13" t="n">
        <x:v>3</x:v>
      </x:c>
      <x:c r="O56" s="13" t="n">
        <x:v>5</x:v>
      </x:c>
    </x:row>
    <x:row r="57">
      <x:c r="A57" s="13" t="str">
        <x:v>Down payment assistance</x:v>
      </x:c>
      <x:c r="B57" s="13" t="str">
        <x:v>—</x:v>
      </x:c>
      <x:c r="C57" s="13" t="str">
        <x:v>Government</x:v>
      </x:c>
      <x:c r="D57" s="14" t="str">
        <x:v>—</x:v>
      </x:c>
      <x:c r="E57" s="16" t="n">
        <x:v>11.18</x:v>
      </x:c>
      <x:c r="F57" s="13" t="str">
        <x:v>All active IIF</x:v>
      </x:c>
      <x:c r="G57" s="15" t="n">
        <x:v>16.37</x:v>
      </x:c>
      <x:c r="H57" s="15" t="n">
        <x:v>6.2</x:v>
      </x:c>
      <x:c r="I57" s="15" t="n">
        <x:v>2.09</x:v>
      </x:c>
      <x:c r="J57" s="15" t="n">
        <x:v>6.7</x:v>
      </x:c>
      <x:c r="K57" s="15" t="n">
        <x:v>0.72</x:v>
      </x:c>
      <x:c r="L57" s="15" t="n">
        <x:v>0.66</x:v>
      </x:c>
      <x:c r="M57" s="15" t="n">
        <x:v>8.08</x:v>
      </x:c>
      <x:c r="N57" s="13" t="n">
        <x:v>3</x:v>
      </x:c>
      <x:c r="O57" s="13" t="n">
        <x:v>5</x:v>
      </x:c>
    </x:row>
    <x:row r="58">
      <x:c r="A58" s="13" t="str">
        <x:v>Down payment assistance</x:v>
      </x:c>
      <x:c r="B58" s="13" t="str">
        <x:v>—</x:v>
      </x:c>
      <x:c r="C58" s="13" t="str">
        <x:v>Relative</x:v>
      </x:c>
      <x:c r="D58" s="14" t="str">
        <x:v>—</x:v>
      </x:c>
      <x:c r="E58" s="16" t="n">
        <x:v>16.96</x:v>
      </x:c>
      <x:c r="F58" s="13" t="str">
        <x:v>All active IIF</x:v>
      </x:c>
      <x:c r="G58" s="15" t="n">
        <x:v>17.89</x:v>
      </x:c>
      <x:c r="H58" s="15" t="n">
        <x:v>7.02</x:v>
      </x:c>
      <x:c r="I58" s="15" t="n">
        <x:v>2.38</x:v>
      </x:c>
      <x:c r="J58" s="15" t="n">
        <x:v>7.05</x:v>
      </x:c>
      <x:c r="K58" s="15" t="n">
        <x:v>0.84</x:v>
      </x:c>
      <x:c r="L58" s="15" t="n">
        <x:v>0.6</x:v>
      </x:c>
      <x:c r="M58" s="15" t="n">
        <x:v>8.49</x:v>
      </x:c>
      <x:c r="N58" s="13" t="n">
        <x:v>3</x:v>
      </x:c>
      <x:c r="O58" s="13" t="n">
        <x:v>5</x:v>
      </x:c>
    </x:row>
    <x:row r="59">
      <x:c r="A59" s="13" t="str">
        <x:v>Down payment assistance</x:v>
      </x:c>
      <x:c r="B59" s="13" t="str">
        <x:v>—</x:v>
      </x:c>
      <x:c r="C59" s="13" t="str">
        <x:v>Other</x:v>
      </x:c>
      <x:c r="D59" s="14" t="str">
        <x:v>—</x:v>
      </x:c>
      <x:c r="E59" s="16" t="n">
        <x:v>1.54</x:v>
      </x:c>
      <x:c r="F59" s="13" t="str">
        <x:v>All active IIF</x:v>
      </x:c>
      <x:c r="G59" s="15" t="n">
        <x:v>17.53</x:v>
      </x:c>
      <x:c r="H59" s="15" t="n">
        <x:v>7</x:v>
      </x:c>
      <x:c r="I59" s="15" t="n">
        <x:v>2.29</x:v>
      </x:c>
      <x:c r="J59" s="15" t="n">
        <x:v>6.73</x:v>
      </x:c>
      <x:c r="K59" s="15" t="n">
        <x:v>0.8</x:v>
      </x:c>
      <x:c r="L59" s="15" t="n">
        <x:v>0.71</x:v>
      </x:c>
      <x:c r="M59" s="15" t="n">
        <x:v>8.24</x:v>
      </x:c>
      <x:c r="N59" s="13" t="n">
        <x:v>3</x:v>
      </x:c>
      <x:c r="O59" s="13" t="n">
        <x:v>5</x:v>
      </x:c>
    </x:row>
    <x:row r="60">
      <x:c r="A60" s="13" t="str">
        <x:v>Down payment assistance</x:v>
      </x:c>
      <x:c r="B60" s="13" t="str">
        <x:v>—</x:v>
      </x:c>
      <x:c r="C60" s="13" t="str">
        <x:v>Seller funded</x:v>
      </x:c>
      <x:c r="D60" s="14" t="str">
        <x:v>—</x:v>
      </x:c>
      <x:c r="E60" s="16" t="n">
        <x:v>0.29</x:v>
      </x:c>
      <x:c r="F60" s="13" t="str">
        <x:v>All active IIF</x:v>
      </x:c>
      <x:c r="G60" s="15" t="n">
        <x:v>20.91</x:v>
      </x:c>
      <x:c r="H60" s="15" t="n">
        <x:v>8.76</x:v>
      </x:c>
      <x:c r="I60" s="15" t="n">
        <x:v>2.82</x:v>
      </x:c>
      <x:c r="J60" s="15" t="n">
        <x:v>7.48</x:v>
      </x:c>
      <x:c r="K60" s="15" t="n">
        <x:v>0.77</x:v>
      </x:c>
      <x:c r="L60" s="15" t="n">
        <x:v>1.08</x:v>
      </x:c>
      <x:c r="M60" s="15" t="n">
        <x:v>9.33</x:v>
      </x:c>
      <x:c r="N60" s="13" t="n">
        <x:v>3</x:v>
      </x:c>
      <x:c r="O60" s="13" t="n">
        <x:v>5</x:v>
      </x:c>
    </x:row>
    <x:row r="61">
      <x:c r="A61" s="13" t="str">
        <x:v>Down payment assistance</x:v>
      </x:c>
      <x:c r="B61" s="13" t="str">
        <x:v>—</x:v>
      </x:c>
      <x:c r="C61" s="13" t="str">
        <x:v>No DPA</x:v>
      </x:c>
      <x:c r="D61" s="14" t="str">
        <x:v>—</x:v>
      </x:c>
      <x:c r="E61" s="16" t="n">
        <x:v>70.03</x:v>
      </x:c>
      <x:c r="F61" s="13" t="str">
        <x:v>All active IIF</x:v>
      </x:c>
      <x:c r="G61" s="15" t="n">
        <x:v>12.06</x:v>
      </x:c>
      <x:c r="H61" s="15" t="n">
        <x:v>4.91</x:v>
      </x:c>
      <x:c r="I61" s="15" t="n">
        <x:v>1.54</x:v>
      </x:c>
      <x:c r="J61" s="15" t="n">
        <x:v>4.53</x:v>
      </x:c>
      <x:c r="K61" s="15" t="n">
        <x:v>0.56</x:v>
      </x:c>
      <x:c r="L61" s="15" t="n">
        <x:v>0.51</x:v>
      </x:c>
      <x:c r="M61" s="15" t="n">
        <x:v>5.6</x:v>
      </x:c>
      <x:c r="N61" s="13" t="n">
        <x:v>3</x:v>
      </x:c>
      <x:c r="O61" s="13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564c68198ab349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0" hidden="0" customWidth="1"/>
    <x:col min="4" max="4" width="16" hidden="0" customWidth="1"/>
    <x:col min="5" max="5" width="24" hidden="0" customWidth="1"/>
    <x:col min="6" max="6" width="20" hidden="0" customWidth="1"/>
    <x:col min="7" max="7" width="22" hidden="0" customWidth="1"/>
    <x:col min="8" max="8" width="20" hidden="0" customWidth="1"/>
    <x:col min="9" max="9" width="24" hidden="0" customWidth="1"/>
    <x:col min="10" max="10" width="18" hidden="0" customWidth="1"/>
    <x:col min="11" max="11" width="12" hidden="0" customWidth="1"/>
    <x:col min="12" max="12" width="12" hidden="0" customWidth="1"/>
    <x:col min="13" max="13" width="16" hidden="0" customWidth="1"/>
  </x:cols>
  <x:sheetData>
    <x:row r="1" ht="38" customHeight="1">
      <x:c r="A1" s="12" t="str">
        <x:v>Fiscal period</x:v>
      </x:c>
      <x:c r="B1" s="12" t="str">
        <x:v>New 90+ loans</x:v>
      </x:c>
      <x:c r="C1" s="12" t="str">
        <x:v>Income reduction %</x:v>
      </x:c>
      <x:c r="D1" s="12" t="str">
        <x:v>Unemployed %</x:v>
      </x:c>
      <x:c r="E1" s="12" t="str">
        <x:v>Excessive obligations %</x:v>
      </x:c>
      <x:c r="F1" s="12" t="str">
        <x:v>Death / illness %</x:v>
      </x:c>
      <x:c r="G1" s="12" t="str">
        <x:v>Marital difficulties %</x:v>
      </x:c>
      <x:c r="H1" s="12" t="str">
        <x:v>Unable to contact %</x:v>
      </x:c>
      <x:c r="I1" s="12" t="str">
        <x:v>National emergency %</x:v>
      </x:c>
      <x:c r="J1" s="12" t="str">
        <x:v>Other reason %</x:v>
      </x:c>
      <x:c r="K1" s="12" t="str">
        <x:v>HUD table</x:v>
      </x:c>
      <x:c r="L1" s="12" t="str">
        <x:v>PDF page</x:v>
      </x:c>
      <x:c r="M1" s="12" t="str">
        <x:v>Partial period</x:v>
      </x:c>
    </x:row>
    <x:row r="2">
      <x:c r="A2" s="13" t="str">
        <x:v>2021 Q4</x:v>
      </x:c>
      <x:c r="B2" s="14" t="n">
        <x:v>85581</x:v>
      </x:c>
      <x:c r="C2" s="20" t="n">
        <x:v>6.95</x:v>
      </x:c>
      <x:c r="D2" s="20" t="n">
        <x:v>2.09</x:v>
      </x:c>
      <x:c r="E2" s="20" t="n">
        <x:v>6</x:v>
      </x:c>
      <x:c r="F2" s="20" t="n">
        <x:v>3.56</x:v>
      </x:c>
      <x:c r="G2" s="20" t="n">
        <x:v>0.68</x:v>
      </x:c>
      <x:c r="H2" s="20" t="n">
        <x:v>4.41</x:v>
      </x:c>
      <x:c r="I2" s="20" t="n">
        <x:v>71.27</x:v>
      </x:c>
      <x:c r="J2" s="20" t="n">
        <x:v>5.04</x:v>
      </x:c>
      <x:c r="K2" s="13" t="n">
        <x:v>2</x:v>
      </x:c>
      <x:c r="L2" s="13" t="n">
        <x:v>3</x:v>
      </x:c>
      <x:c r="M2" s="19" t="b">
        <x:v>0</x:v>
      </x:c>
    </x:row>
    <x:row r="3">
      <x:c r="A3" s="13" t="str">
        <x:v>2022 Q1</x:v>
      </x:c>
      <x:c r="B3" s="14" t="n">
        <x:v>106018</x:v>
      </x:c>
      <x:c r="C3" s="20" t="n">
        <x:v>7.42</x:v>
      </x:c>
      <x:c r="D3" s="20" t="n">
        <x:v>2.12</x:v>
      </x:c>
      <x:c r="E3" s="20" t="n">
        <x:v>6.69</x:v>
      </x:c>
      <x:c r="F3" s="20" t="n">
        <x:v>4.01</x:v>
      </x:c>
      <x:c r="G3" s="20" t="n">
        <x:v>0.72</x:v>
      </x:c>
      <x:c r="H3" s="20" t="n">
        <x:v>4.41</x:v>
      </x:c>
      <x:c r="I3" s="20" t="n">
        <x:v>69.19</x:v>
      </x:c>
      <x:c r="J3" s="20" t="n">
        <x:v>5.43</x:v>
      </x:c>
      <x:c r="K3" s="13" t="n">
        <x:v>2</x:v>
      </x:c>
      <x:c r="L3" s="13" t="n">
        <x:v>3</x:v>
      </x:c>
      <x:c r="M3" s="19" t="b">
        <x:v>0</x:v>
      </x:c>
    </x:row>
    <x:row r="4">
      <x:c r="A4" s="13" t="str">
        <x:v>2022 Q2</x:v>
      </x:c>
      <x:c r="B4" s="14" t="n">
        <x:v>109691</x:v>
      </x:c>
      <x:c r="C4" s="20" t="n">
        <x:v>9.11</x:v>
      </x:c>
      <x:c r="D4" s="20" t="n">
        <x:v>2.54</x:v>
      </x:c>
      <x:c r="E4" s="20" t="n">
        <x:v>7.66</x:v>
      </x:c>
      <x:c r="F4" s="20" t="n">
        <x:v>4.8</x:v>
      </x:c>
      <x:c r="G4" s="20" t="n">
        <x:v>0.84</x:v>
      </x:c>
      <x:c r="H4" s="20" t="n">
        <x:v>4.62</x:v>
      </x:c>
      <x:c r="I4" s="20" t="n">
        <x:v>64.69</x:v>
      </x:c>
      <x:c r="J4" s="20" t="n">
        <x:v>5.74</x:v>
      </x:c>
      <x:c r="K4" s="13" t="n">
        <x:v>2</x:v>
      </x:c>
      <x:c r="L4" s="13" t="n">
        <x:v>3</x:v>
      </x:c>
      <x:c r="M4" s="19" t="b">
        <x:v>0</x:v>
      </x:c>
    </x:row>
    <x:row r="5">
      <x:c r="A5" s="13" t="str">
        <x:v>2022 Q3</x:v>
      </x:c>
      <x:c r="B5" s="14" t="n">
        <x:v>94959</x:v>
      </x:c>
      <x:c r="C5" s="20" t="n">
        <x:v>11.36</x:v>
      </x:c>
      <x:c r="D5" s="20" t="n">
        <x:v>3.12</x:v>
      </x:c>
      <x:c r="E5" s="20" t="n">
        <x:v>9.52</x:v>
      </x:c>
      <x:c r="F5" s="20" t="n">
        <x:v>5.92</x:v>
      </x:c>
      <x:c r="G5" s="20" t="n">
        <x:v>1.11</x:v>
      </x:c>
      <x:c r="H5" s="20" t="n">
        <x:v>4.94</x:v>
      </x:c>
      <x:c r="I5" s="20" t="n">
        <x:v>57.57</x:v>
      </x:c>
      <x:c r="J5" s="20" t="n">
        <x:v>6.47</x:v>
      </x:c>
      <x:c r="K5" s="13" t="n">
        <x:v>2</x:v>
      </x:c>
      <x:c r="L5" s="13" t="n">
        <x:v>3</x:v>
      </x:c>
      <x:c r="M5" s="19" t="b">
        <x:v>0</x:v>
      </x:c>
    </x:row>
    <x:row r="6">
      <x:c r="A6" s="13" t="str">
        <x:v>2022 Q4</x:v>
      </x:c>
      <x:c r="B6" s="14" t="n">
        <x:v>121035</x:v>
      </x:c>
      <x:c r="C6" s="20" t="n">
        <x:v>14.3</x:v>
      </x:c>
      <x:c r="D6" s="20" t="n">
        <x:v>3.91</x:v>
      </x:c>
      <x:c r="E6" s="20" t="n">
        <x:v>10.94</x:v>
      </x:c>
      <x:c r="F6" s="20" t="n">
        <x:v>7.01</x:v>
      </x:c>
      <x:c r="G6" s="20" t="n">
        <x:v>1.33</x:v>
      </x:c>
      <x:c r="H6" s="20" t="n">
        <x:v>4.78</x:v>
      </x:c>
      <x:c r="I6" s="20" t="n">
        <x:v>51.34</x:v>
      </x:c>
      <x:c r="J6" s="20" t="n">
        <x:v>6.39</x:v>
      </x:c>
      <x:c r="K6" s="13" t="n">
        <x:v>2</x:v>
      </x:c>
      <x:c r="L6" s="13" t="n">
        <x:v>3</x:v>
      </x:c>
      <x:c r="M6" s="19" t="b">
        <x:v>0</x:v>
      </x:c>
    </x:row>
    <x:row r="7">
      <x:c r="A7" s="13" t="str">
        <x:v>2023 Q1</x:v>
      </x:c>
      <x:c r="B7" s="14" t="n">
        <x:v>136698</x:v>
      </x:c>
      <x:c r="C7" s="20" t="n">
        <x:v>16.71</x:v>
      </x:c>
      <x:c r="D7" s="20" t="n">
        <x:v>4.43</x:v>
      </x:c>
      <x:c r="E7" s="20" t="n">
        <x:v>11.85</x:v>
      </x:c>
      <x:c r="F7" s="20" t="n">
        <x:v>7.78</x:v>
      </x:c>
      <x:c r="G7" s="20" t="n">
        <x:v>1.57</x:v>
      </x:c>
      <x:c r="H7" s="20" t="n">
        <x:v>4.86</x:v>
      </x:c>
      <x:c r="I7" s="20" t="n">
        <x:v>45.05</x:v>
      </x:c>
      <x:c r="J7" s="20" t="n">
        <x:v>7.74</x:v>
      </x:c>
      <x:c r="K7" s="13" t="n">
        <x:v>2</x:v>
      </x:c>
      <x:c r="L7" s="13" t="n">
        <x:v>3</x:v>
      </x:c>
      <x:c r="M7" s="19" t="b">
        <x:v>0</x:v>
      </x:c>
    </x:row>
    <x:row r="8">
      <x:c r="A8" s="13" t="str">
        <x:v>2023 Q2</x:v>
      </x:c>
      <x:c r="B8" s="14" t="n">
        <x:v>120025</x:v>
      </x:c>
      <x:c r="C8" s="20" t="n">
        <x:v>19.35</x:v>
      </x:c>
      <x:c r="D8" s="20" t="n">
        <x:v>5.31</x:v>
      </x:c>
      <x:c r="E8" s="20" t="n">
        <x:v>12.57</x:v>
      </x:c>
      <x:c r="F8" s="20" t="n">
        <x:v>9.03</x:v>
      </x:c>
      <x:c r="G8" s="20" t="n">
        <x:v>1.7</x:v>
      </x:c>
      <x:c r="H8" s="20" t="n">
        <x:v>5.35</x:v>
      </x:c>
      <x:c r="I8" s="20" t="n">
        <x:v>39.13</x:v>
      </x:c>
      <x:c r="J8" s="20" t="n">
        <x:v>7.56</x:v>
      </x:c>
      <x:c r="K8" s="13" t="n">
        <x:v>2</x:v>
      </x:c>
      <x:c r="L8" s="13" t="n">
        <x:v>3</x:v>
      </x:c>
      <x:c r="M8" s="19" t="b">
        <x:v>0</x:v>
      </x:c>
    </x:row>
    <x:row r="9">
      <x:c r="A9" s="13" t="str">
        <x:v>2023 Q3</x:v>
      </x:c>
      <x:c r="B9" s="14" t="n">
        <x:v>114675</x:v>
      </x:c>
      <x:c r="C9" s="20" t="n">
        <x:v>23.22</x:v>
      </x:c>
      <x:c r="D9" s="20" t="n">
        <x:v>6.35</x:v>
      </x:c>
      <x:c r="E9" s="20" t="n">
        <x:v>14.57</x:v>
      </x:c>
      <x:c r="F9" s="20" t="n">
        <x:v>10.61</x:v>
      </x:c>
      <x:c r="G9" s="20" t="n">
        <x:v>1.98</x:v>
      </x:c>
      <x:c r="H9" s="20" t="n">
        <x:v>5.45</x:v>
      </x:c>
      <x:c r="I9" s="20" t="n">
        <x:v>30.66</x:v>
      </x:c>
      <x:c r="J9" s="20" t="n">
        <x:v>7.18</x:v>
      </x:c>
      <x:c r="K9" s="13" t="n">
        <x:v>2</x:v>
      </x:c>
      <x:c r="L9" s="13" t="n">
        <x:v>3</x:v>
      </x:c>
      <x:c r="M9" s="19" t="b">
        <x:v>0</x:v>
      </x:c>
    </x:row>
    <x:row r="10">
      <x:c r="A10" s="13" t="str">
        <x:v>2023 Q4</x:v>
      </x:c>
      <x:c r="B10" s="14" t="n">
        <x:v>145097</x:v>
      </x:c>
      <x:c r="C10" s="20" t="n">
        <x:v>26.04</x:v>
      </x:c>
      <x:c r="D10" s="20" t="n">
        <x:v>7.62</x:v>
      </x:c>
      <x:c r="E10" s="20" t="n">
        <x:v>16.44</x:v>
      </x:c>
      <x:c r="F10" s="20" t="n">
        <x:v>11.6</x:v>
      </x:c>
      <x:c r="G10" s="20" t="n">
        <x:v>2.18</x:v>
      </x:c>
      <x:c r="H10" s="20" t="n">
        <x:v>5.17</x:v>
      </x:c>
      <x:c r="I10" s="20" t="n">
        <x:v>24.02</x:v>
      </x:c>
      <x:c r="J10" s="20" t="n">
        <x:v>6.93</x:v>
      </x:c>
      <x:c r="K10" s="13" t="n">
        <x:v>2</x:v>
      </x:c>
      <x:c r="L10" s="13" t="n">
        <x:v>3</x:v>
      </x:c>
      <x:c r="M10" s="19" t="b">
        <x:v>0</x:v>
      </x:c>
    </x:row>
    <x:row r="11">
      <x:c r="A11" s="13" t="str">
        <x:v>2024 Q1</x:v>
      </x:c>
      <x:c r="B11" s="14" t="n">
        <x:v>160845</x:v>
      </x:c>
      <x:c r="C11" s="20" t="n">
        <x:v>25.93</x:v>
      </x:c>
      <x:c r="D11" s="20" t="n">
        <x:v>8.37</x:v>
      </x:c>
      <x:c r="E11" s="20" t="n">
        <x:v>17.34</x:v>
      </x:c>
      <x:c r="F11" s="20" t="n">
        <x:v>13.04</x:v>
      </x:c>
      <x:c r="G11" s="20" t="n">
        <x:v>2.34</x:v>
      </x:c>
      <x:c r="H11" s="20" t="n">
        <x:v>5.48</x:v>
      </x:c>
      <x:c r="I11" s="20" t="n">
        <x:v>20.22</x:v>
      </x:c>
      <x:c r="J11" s="20" t="n">
        <x:v>7.27</x:v>
      </x:c>
      <x:c r="K11" s="13" t="n">
        <x:v>2</x:v>
      </x:c>
      <x:c r="L11" s="13" t="n">
        <x:v>3</x:v>
      </x:c>
      <x:c r="M11" s="19" t="b">
        <x:v>0</x:v>
      </x:c>
    </x:row>
    <x:row r="12">
      <x:c r="A12" s="13" t="str">
        <x:v>2024 Q2</x:v>
      </x:c>
      <x:c r="B12" s="14" t="n">
        <x:v>151888</x:v>
      </x:c>
      <x:c r="C12" s="20" t="n">
        <x:v>28.44</x:v>
      </x:c>
      <x:c r="D12" s="20" t="n">
        <x:v>9.73</x:v>
      </x:c>
      <x:c r="E12" s="20" t="n">
        <x:v>18.23</x:v>
      </x:c>
      <x:c r="F12" s="20" t="n">
        <x:v>14.08</x:v>
      </x:c>
      <x:c r="G12" s="20" t="n">
        <x:v>2.5</x:v>
      </x:c>
      <x:c r="H12" s="20" t="n">
        <x:v>5.43</x:v>
      </x:c>
      <x:c r="I12" s="20" t="n">
        <x:v>14.04</x:v>
      </x:c>
      <x:c r="J12" s="20" t="n">
        <x:v>7.55</x:v>
      </x:c>
      <x:c r="K12" s="13" t="n">
        <x:v>2</x:v>
      </x:c>
      <x:c r="L12" s="13" t="n">
        <x:v>3</x:v>
      </x:c>
      <x:c r="M12" s="19" t="b">
        <x:v>0</x:v>
      </x:c>
    </x:row>
    <x:row r="13">
      <x:c r="A13" s="13" t="str">
        <x:v>2024 Q3</x:v>
      </x:c>
      <x:c r="B13" s="14" t="n">
        <x:v>142877</x:v>
      </x:c>
      <x:c r="C13" s="20" t="n">
        <x:v>26.72</x:v>
      </x:c>
      <x:c r="D13" s="20" t="n">
        <x:v>10.33</x:v>
      </x:c>
      <x:c r="E13" s="20" t="n">
        <x:v>18.79</x:v>
      </x:c>
      <x:c r="F13" s="20" t="n">
        <x:v>13.76</x:v>
      </x:c>
      <x:c r="G13" s="20" t="n">
        <x:v>2.63</x:v>
      </x:c>
      <x:c r="H13" s="20" t="n">
        <x:v>5.75</x:v>
      </x:c>
      <x:c r="I13" s="20" t="n">
        <x:v>13.74</x:v>
      </x:c>
      <x:c r="J13" s="20" t="n">
        <x:v>8.28</x:v>
      </x:c>
      <x:c r="K13" s="13" t="n">
        <x:v>2</x:v>
      </x:c>
      <x:c r="L13" s="13" t="n">
        <x:v>3</x:v>
      </x:c>
      <x:c r="M13" s="19" t="b">
        <x:v>0</x:v>
      </x:c>
    </x:row>
    <x:row r="14">
      <x:c r="A14" s="13" t="str">
        <x:v>2024 Q4</x:v>
      </x:c>
      <x:c r="B14" s="14" t="n">
        <x:v>187368</x:v>
      </x:c>
      <x:c r="C14" s="20" t="n">
        <x:v>26.98</x:v>
      </x:c>
      <x:c r="D14" s="20" t="n">
        <x:v>10.48</x:v>
      </x:c>
      <x:c r="E14" s="20" t="n">
        <x:v>19.95</x:v>
      </x:c>
      <x:c r="F14" s="20" t="n">
        <x:v>13.91</x:v>
      </x:c>
      <x:c r="G14" s="20" t="n">
        <x:v>2.55</x:v>
      </x:c>
      <x:c r="H14" s="20" t="n">
        <x:v>5.98</x:v>
      </x:c>
      <x:c r="I14" s="20" t="n">
        <x:v>9.74</x:v>
      </x:c>
      <x:c r="J14" s="20" t="n">
        <x:v>10.41</x:v>
      </x:c>
      <x:c r="K14" s="13" t="n">
        <x:v>2</x:v>
      </x:c>
      <x:c r="L14" s="13" t="n">
        <x:v>3</x:v>
      </x:c>
      <x:c r="M14" s="19" t="b">
        <x:v>0</x:v>
      </x:c>
    </x:row>
    <x:row r="15">
      <x:c r="A15" s="13" t="str">
        <x:v>2025 Q1</x:v>
      </x:c>
      <x:c r="B15" s="14" t="n">
        <x:v>201309</x:v>
      </x:c>
      <x:c r="C15" s="20" t="n">
        <x:v>26.38</x:v>
      </x:c>
      <x:c r="D15" s="20" t="n">
        <x:v>10.17</x:v>
      </x:c>
      <x:c r="E15" s="20" t="n">
        <x:v>19.6</x:v>
      </x:c>
      <x:c r="F15" s="20" t="n">
        <x:v>13.64</x:v>
      </x:c>
      <x:c r="G15" s="20" t="n">
        <x:v>2.49</x:v>
      </x:c>
      <x:c r="H15" s="20" t="n">
        <x:v>6.06</x:v>
      </x:c>
      <x:c r="I15" s="20" t="n">
        <x:v>7.91</x:v>
      </x:c>
      <x:c r="J15" s="20" t="n">
        <x:v>13.74</x:v>
      </x:c>
      <x:c r="K15" s="13" t="n">
        <x:v>2</x:v>
      </x:c>
      <x:c r="L15" s="13" t="n">
        <x:v>3</x:v>
      </x:c>
      <x:c r="M15" s="19" t="b">
        <x:v>0</x:v>
      </x:c>
    </x:row>
    <x:row r="16">
      <x:c r="A16" s="13" t="str">
        <x:v>2025 Q2</x:v>
      </x:c>
      <x:c r="B16" s="14" t="n">
        <x:v>178354</x:v>
      </x:c>
      <x:c r="C16" s="20" t="n">
        <x:v>27.92</x:v>
      </x:c>
      <x:c r="D16" s="20" t="n">
        <x:v>11.16</x:v>
      </x:c>
      <x:c r="E16" s="20" t="n">
        <x:v>19.73</x:v>
      </x:c>
      <x:c r="F16" s="20" t="n">
        <x:v>14</x:v>
      </x:c>
      <x:c r="G16" s="20" t="n">
        <x:v>2.56</x:v>
      </x:c>
      <x:c r="H16" s="20" t="n">
        <x:v>6.29</x:v>
      </x:c>
      <x:c r="I16" s="20" t="n">
        <x:v>6.18</x:v>
      </x:c>
      <x:c r="J16" s="20" t="n">
        <x:v>12.16</x:v>
      </x:c>
      <x:c r="K16" s="13" t="n">
        <x:v>2</x:v>
      </x:c>
      <x:c r="L16" s="13" t="n">
        <x:v>3</x:v>
      </x:c>
      <x:c r="M16" s="19" t="b">
        <x:v>0</x:v>
      </x:c>
    </x:row>
    <x:row r="17">
      <x:c r="A17" s="13" t="str">
        <x:v>2025 Q3</x:v>
      </x:c>
      <x:c r="B17" s="14" t="n">
        <x:v>156963</x:v>
      </x:c>
      <x:c r="C17" s="20" t="n">
        <x:v>29</x:v>
      </x:c>
      <x:c r="D17" s="20" t="n">
        <x:v>12.05</x:v>
      </x:c>
      <x:c r="E17" s="20" t="n">
        <x:v>20.33</x:v>
      </x:c>
      <x:c r="F17" s="20" t="n">
        <x:v>14.92</x:v>
      </x:c>
      <x:c r="G17" s="20" t="n">
        <x:v>2.72</x:v>
      </x:c>
      <x:c r="H17" s="20" t="n">
        <x:v>6.81</x:v>
      </x:c>
      <x:c r="I17" s="20" t="n">
        <x:v>3.95</x:v>
      </x:c>
      <x:c r="J17" s="20" t="n">
        <x:v>10.21</x:v>
      </x:c>
      <x:c r="K17" s="13" t="n">
        <x:v>2</x:v>
      </x:c>
      <x:c r="L17" s="13" t="n">
        <x:v>3</x:v>
      </x:c>
      <x:c r="M17" s="19" t="b">
        <x:v>0</x:v>
      </x:c>
    </x:row>
    <x:row r="18">
      <x:c r="A18" s="13" t="str">
        <x:v>2025 Q4</x:v>
      </x:c>
      <x:c r="B18" s="14" t="n">
        <x:v>194834</x:v>
      </x:c>
      <x:c r="C18" s="20" t="n">
        <x:v>30.44</x:v>
      </x:c>
      <x:c r="D18" s="20" t="n">
        <x:v>12.49</x:v>
      </x:c>
      <x:c r="E18" s="20" t="n">
        <x:v>20.55</x:v>
      </x:c>
      <x:c r="F18" s="20" t="n">
        <x:v>15.27</x:v>
      </x:c>
      <x:c r="G18" s="20" t="n">
        <x:v>2.62</x:v>
      </x:c>
      <x:c r="H18" s="20" t="n">
        <x:v>7.83</x:v>
      </x:c>
      <x:c r="I18" s="20" t="n">
        <x:v>1.37</x:v>
      </x:c>
      <x:c r="J18" s="20" t="n">
        <x:v>9.42</x:v>
      </x:c>
      <x:c r="K18" s="13" t="n">
        <x:v>2</x:v>
      </x:c>
      <x:c r="L18" s="13" t="n">
        <x:v>3</x:v>
      </x:c>
      <x:c r="M18" s="19" t="b">
        <x:v>0</x:v>
      </x:c>
    </x:row>
    <x:row r="19">
      <x:c r="A19" s="13" t="str">
        <x:v>2026 Q1</x:v>
      </x:c>
      <x:c r="B19" s="14" t="n">
        <x:v>217195</x:v>
      </x:c>
      <x:c r="C19" s="20" t="n">
        <x:v>33.12</x:v>
      </x:c>
      <x:c r="D19" s="20" t="n">
        <x:v>13.05</x:v>
      </x:c>
      <x:c r="E19" s="20" t="n">
        <x:v>19.9</x:v>
      </x:c>
      <x:c r="F19" s="20" t="n">
        <x:v>15.22</x:v>
      </x:c>
      <x:c r="G19" s="20" t="n">
        <x:v>2.56</x:v>
      </x:c>
      <x:c r="H19" s="20" t="n">
        <x:v>7.22</x:v>
      </x:c>
      <x:c r="I19" s="20" t="n">
        <x:v>0.18</x:v>
      </x:c>
      <x:c r="J19" s="20" t="n">
        <x:v>8.76</x:v>
      </x:c>
      <x:c r="K19" s="13" t="n">
        <x:v>2</x:v>
      </x:c>
      <x:c r="L19" s="13" t="n">
        <x:v>3</x:v>
      </x:c>
      <x:c r="M19" s="19" t="b">
        <x:v>0</x:v>
      </x:c>
    </x:row>
    <x:row r="20">
      <x:c r="A20" s="13" t="str">
        <x:v>2026 Q2</x:v>
      </x:c>
      <x:c r="B20" s="14" t="n">
        <x:v>195315</x:v>
      </x:c>
      <x:c r="C20" s="20" t="n">
        <x:v>33.91</x:v>
      </x:c>
      <x:c r="D20" s="20" t="n">
        <x:v>12.77</x:v>
      </x:c>
      <x:c r="E20" s="20" t="n">
        <x:v>19.7</x:v>
      </x:c>
      <x:c r="F20" s="20" t="n">
        <x:v>15.02</x:v>
      </x:c>
      <x:c r="G20" s="20" t="n">
        <x:v>2.48</x:v>
      </x:c>
      <x:c r="H20" s="20" t="n">
        <x:v>7.04</x:v>
      </x:c>
      <x:c r="I20" s="20" t="n">
        <x:v>0.17</x:v>
      </x:c>
      <x:c r="J20" s="20" t="n">
        <x:v>8.89</x:v>
      </x:c>
      <x:c r="K20" s="13" t="n">
        <x:v>2</x:v>
      </x:c>
      <x:c r="L20" s="13" t="n">
        <x:v>3</x:v>
      </x:c>
      <x:c r="M20" s="19" t="b">
        <x:v>0</x:v>
      </x:c>
    </x:row>
    <x:row r="21">
      <x:c r="A21" s="13" t="str">
        <x:v>2026 Q3</x:v>
      </x:c>
      <x:c r="B21" s="14" t="n">
        <x:v>145837</x:v>
      </x:c>
      <x:c r="C21" s="20" t="n">
        <x:v>31.3</x:v>
      </x:c>
      <x:c r="D21" s="20" t="n">
        <x:v>12.29</x:v>
      </x:c>
      <x:c r="E21" s="20" t="n">
        <x:v>21.29</x:v>
      </x:c>
      <x:c r="F21" s="20" t="n">
        <x:v>15.41</x:v>
      </x:c>
      <x:c r="G21" s="20" t="n">
        <x:v>2.44</x:v>
      </x:c>
      <x:c r="H21" s="20" t="n">
        <x:v>8.96</x:v>
      </x:c>
      <x:c r="I21" s="20" t="n">
        <x:v>0.11</x:v>
      </x:c>
      <x:c r="J21" s="20" t="n">
        <x:v>8.2</x:v>
      </x:c>
      <x:c r="K21" s="13" t="n">
        <x:v>2</x:v>
      </x:c>
      <x:c r="L21" s="13" t="n">
        <x:v>3</x:v>
      </x:c>
      <x:c r="M21" s="19" t="b">
        <x:v>0</x:v>
      </x:c>
    </x:row>
    <x:row r="22">
      <x:c r="A22" s="13" t="str">
        <x:v>2026 Q4 - Jul</x:v>
      </x:c>
      <x:c r="B22" s="14" t="n">
        <x:v>51224</x:v>
      </x:c>
      <x:c r="C22" s="20" t="n">
        <x:v>29.87</x:v>
      </x:c>
      <x:c r="D22" s="20" t="n">
        <x:v>12.1</x:v>
      </x:c>
      <x:c r="E22" s="20" t="n">
        <x:v>21.53</x:v>
      </x:c>
      <x:c r="F22" s="20" t="n">
        <x:v>14.85</x:v>
      </x:c>
      <x:c r="G22" s="20" t="n">
        <x:v>2.34</x:v>
      </x:c>
      <x:c r="H22" s="20" t="n">
        <x:v>11.33</x:v>
      </x:c>
      <x:c r="I22" s="20" t="n">
        <x:v>0.15</x:v>
      </x:c>
      <x:c r="J22" s="20" t="n">
        <x:v>7.83</x:v>
      </x:c>
      <x:c r="K22" s="13" t="n">
        <x:v>2</x:v>
      </x:c>
      <x:c r="L22" s="13" t="n">
        <x:v>3</x:v>
      </x:c>
      <x:c r="M22" s="19" t="b">
        <x:v>1</x:v>
      </x:c>
    </x:row>
    <x:row r="23">
      <x:c r="A23" s="13" t="str">
        <x:v>2026 Q4 - Aug</x:v>
      </x:c>
      <x:c r="B23" s="14" t="n">
        <x:v>51483</x:v>
      </x:c>
      <x:c r="C23" s="20" t="n">
        <x:v>28.42</x:v>
      </x:c>
      <x:c r="D23" s="20" t="n">
        <x:v>11.73</x:v>
      </x:c>
      <x:c r="E23" s="20" t="n">
        <x:v>20.7</x:v>
      </x:c>
      <x:c r="F23" s="20" t="n">
        <x:v>13.5</x:v>
      </x:c>
      <x:c r="G23" s="20" t="n">
        <x:v>2.16</x:v>
      </x:c>
      <x:c r="H23" s="20" t="n">
        <x:v>16.01</x:v>
      </x:c>
      <x:c r="I23" s="20" t="n">
        <x:v>0.15</x:v>
      </x:c>
      <x:c r="J23" s="20" t="n">
        <x:v>7.33</x:v>
      </x:c>
      <x:c r="K23" s="13" t="n">
        <x:v>2</x:v>
      </x:c>
      <x:c r="L23" s="13" t="n">
        <x:v>3</x:v>
      </x:c>
      <x:c r="M23" s="19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812ffbeb60d453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20" hidden="0" customWidth="1"/>
    <x:col min="5" max="5" width="20" hidden="0" customWidth="1"/>
    <x:col min="6" max="6" width="18" hidden="0" customWidth="1"/>
    <x:col min="7" max="7" width="24" hidden="0" customWidth="1"/>
    <x:col min="8" max="8" width="26" hidden="0" customWidth="1"/>
    <x:col min="9" max="9" width="12" hidden="0" customWidth="1"/>
    <x:col min="10" max="10" width="12" hidden="0" customWidth="1"/>
  </x:cols>
  <x:sheetData>
    <x:row r="1" ht="38" customHeight="1">
      <x:c r="A1" s="12" t="str">
        <x:v>Fiscal year</x:v>
      </x:c>
      <x:c r="B1" s="12" t="str">
        <x:v>Month</x:v>
      </x:c>
      <x:c r="C1" s="12" t="str">
        <x:v>Active IIF</x:v>
      </x:c>
      <x:c r="D1" s="12" t="str">
        <x:v>Foreclosure starts</x:v>
      </x:c>
      <x:c r="E1" s="12" t="str">
        <x:v>In foreclosure</x:v>
      </x:c>
      <x:c r="F1" s="12" t="str">
        <x:v>Claims paid</x:v>
      </x:c>
      <x:c r="G1" s="12" t="str">
        <x:v>6-month starts average</x:v>
      </x:c>
      <x:c r="H1" s="12" t="str">
        <x:v>Annualized foreclosure rate %</x:v>
      </x:c>
      <x:c r="I1" s="12" t="str">
        <x:v>HUD table</x:v>
      </x:c>
      <x:c r="J1" s="12" t="str">
        <x:v>PDF page</x:v>
      </x:c>
    </x:row>
    <x:row r="2">
      <x:c r="A2" s="13" t="n">
        <x:v>2023</x:v>
      </x:c>
      <x:c r="B2" s="13" t="str">
        <x:v>Aug</x:v>
      </x:c>
      <x:c r="C2" s="14" t="n">
        <x:v>7483303</x:v>
      </x:c>
      <x:c r="D2" s="14" t="n">
        <x:v>6262</x:v>
      </x:c>
      <x:c r="E2" s="14" t="n">
        <x:v>30959</x:v>
      </x:c>
      <x:c r="F2" s="14" t="n">
        <x:v>1438</x:v>
      </x:c>
      <x:c r="G2" s="14" t="n">
        <x:v>6409</x:v>
      </x:c>
      <x:c r="H2" s="20" t="n">
        <x:v>0.23</x:v>
      </x:c>
      <x:c r="I2" s="13" t="n">
        <x:v>4</x:v>
      </x:c>
      <x:c r="J2" s="13" t="n">
        <x:v>6</x:v>
      </x:c>
    </x:row>
    <x:row r="3">
      <x:c r="A3" s="13" t="n">
        <x:v>2023</x:v>
      </x:c>
      <x:c r="B3" s="13" t="str">
        <x:v>Sep</x:v>
      </x:c>
      <x:c r="C3" s="14" t="n">
        <x:v>7509540</x:v>
      </x:c>
      <x:c r="D3" s="14" t="n">
        <x:v>5515</x:v>
      </x:c>
      <x:c r="E3" s="14" t="n">
        <x:v>29698</x:v>
      </x:c>
      <x:c r="F3" s="14" t="n">
        <x:v>1172</x:v>
      </x:c>
      <x:c r="G3" s="14" t="n">
        <x:v>5946</x:v>
      </x:c>
      <x:c r="H3" s="20" t="n">
        <x:v>0.19</x:v>
      </x:c>
      <x:c r="I3" s="13" t="n">
        <x:v>4</x:v>
      </x:c>
      <x:c r="J3" s="13" t="n">
        <x:v>6</x:v>
      </x:c>
    </x:row>
    <x:row r="4">
      <x:c r="A4" s="13" t="n">
        <x:v>2024</x:v>
      </x:c>
      <x:c r="B4" s="13" t="str">
        <x:v>Oct</x:v>
      </x:c>
      <x:c r="C4" s="14" t="n">
        <x:v>7534590</x:v>
      </x:c>
      <x:c r="D4" s="14" t="n">
        <x:v>5899</x:v>
      </x:c>
      <x:c r="E4" s="14" t="n">
        <x:v>29183</x:v>
      </x:c>
      <x:c r="F4" s="14" t="n">
        <x:v>1328</x:v>
      </x:c>
      <x:c r="G4" s="14" t="n">
        <x:v>5764</x:v>
      </x:c>
      <x:c r="H4" s="20" t="n">
        <x:v>0.21</x:v>
      </x:c>
      <x:c r="I4" s="13" t="n">
        <x:v>4</x:v>
      </x:c>
      <x:c r="J4" s="13" t="n">
        <x:v>6</x:v>
      </x:c>
    </x:row>
    <x:row r="5">
      <x:c r="A5" s="13" t="n">
        <x:v>2024</x:v>
      </x:c>
      <x:c r="B5" s="13" t="str">
        <x:v>Nov</x:v>
      </x:c>
      <x:c r="C5" s="14" t="n">
        <x:v>7562636</x:v>
      </x:c>
      <x:c r="D5" s="14" t="n">
        <x:v>5670</x:v>
      </x:c>
      <x:c r="E5" s="14" t="n">
        <x:v>29336</x:v>
      </x:c>
      <x:c r="F5" s="14" t="n">
        <x:v>1218</x:v>
      </x:c>
      <x:c r="G5" s="14" t="n">
        <x:v>5619</x:v>
      </x:c>
      <x:c r="H5" s="20" t="n">
        <x:v>0.19</x:v>
      </x:c>
      <x:c r="I5" s="13" t="n">
        <x:v>4</x:v>
      </x:c>
      <x:c r="J5" s="13" t="n">
        <x:v>6</x:v>
      </x:c>
    </x:row>
    <x:row r="6">
      <x:c r="A6" s="13" t="n">
        <x:v>2024</x:v>
      </x:c>
      <x:c r="B6" s="13" t="str">
        <x:v>Dec</x:v>
      </x:c>
      <x:c r="C6" s="14" t="n">
        <x:v>7586431</x:v>
      </x:c>
      <x:c r="D6" s="14" t="n">
        <x:v>5847</x:v>
      </x:c>
      <x:c r="E6" s="14" t="n">
        <x:v>30131</x:v>
      </x:c>
      <x:c r="F6" s="14" t="n">
        <x:v>1240</x:v>
      </x:c>
      <x:c r="G6" s="14" t="n">
        <x:v>5687</x:v>
      </x:c>
      <x:c r="H6" s="20" t="n">
        <x:v>0.2</x:v>
      </x:c>
      <x:c r="I6" s="13" t="n">
        <x:v>4</x:v>
      </x:c>
      <x:c r="J6" s="13" t="n">
        <x:v>6</x:v>
      </x:c>
    </x:row>
    <x:row r="7">
      <x:c r="A7" s="13" t="n">
        <x:v>2024</x:v>
      </x:c>
      <x:c r="B7" s="13" t="str">
        <x:v>Jan</x:v>
      </x:c>
      <x:c r="C7" s="14" t="n">
        <x:v>7613635</x:v>
      </x:c>
      <x:c r="D7" s="14" t="n">
        <x:v>7114</x:v>
      </x:c>
      <x:c r="E7" s="14" t="n">
        <x:v>30721</x:v>
      </x:c>
      <x:c r="F7" s="14" t="n">
        <x:v>1301</x:v>
      </x:c>
      <x:c r="G7" s="14" t="n">
        <x:v>6051</x:v>
      </x:c>
      <x:c r="H7" s="20" t="n">
        <x:v>0.2</x:v>
      </x:c>
      <x:c r="I7" s="13" t="n">
        <x:v>4</x:v>
      </x:c>
      <x:c r="J7" s="13" t="n">
        <x:v>6</x:v>
      </x:c>
    </x:row>
    <x:row r="8">
      <x:c r="A8" s="13" t="n">
        <x:v>2024</x:v>
      </x:c>
      <x:c r="B8" s="13" t="str">
        <x:v>Feb</x:v>
      </x:c>
      <x:c r="C8" s="14" t="n">
        <x:v>7630910</x:v>
      </x:c>
      <x:c r="D8" s="14" t="n">
        <x:v>7359</x:v>
      </x:c>
      <x:c r="E8" s="14" t="n">
        <x:v>31602</x:v>
      </x:c>
      <x:c r="F8" s="14" t="n">
        <x:v>1256</x:v>
      </x:c>
      <x:c r="G8" s="14" t="n">
        <x:v>6234</x:v>
      </x:c>
      <x:c r="H8" s="20" t="n">
        <x:v>0.2</x:v>
      </x:c>
      <x:c r="I8" s="13" t="n">
        <x:v>4</x:v>
      </x:c>
      <x:c r="J8" s="13" t="n">
        <x:v>6</x:v>
      </x:c>
    </x:row>
    <x:row r="9">
      <x:c r="A9" s="13" t="n">
        <x:v>2024</x:v>
      </x:c>
      <x:c r="B9" s="13" t="str">
        <x:v>Mar</x:v>
      </x:c>
      <x:c r="C9" s="14" t="n">
        <x:v>7654977</x:v>
      </x:c>
      <x:c r="D9" s="14" t="n">
        <x:v>6747</x:v>
      </x:c>
      <x:c r="E9" s="14" t="n">
        <x:v>30740</x:v>
      </x:c>
      <x:c r="F9" s="14" t="n">
        <x:v>1269</x:v>
      </x:c>
      <x:c r="G9" s="14" t="n">
        <x:v>6439</x:v>
      </x:c>
      <x:c r="H9" s="20" t="n">
        <x:v>0.2</x:v>
      </x:c>
      <x:c r="I9" s="13" t="n">
        <x:v>4</x:v>
      </x:c>
      <x:c r="J9" s="13" t="n">
        <x:v>6</x:v>
      </x:c>
    </x:row>
    <x:row r="10">
      <x:c r="A10" s="13" t="n">
        <x:v>2024</x:v>
      </x:c>
      <x:c r="B10" s="13" t="str">
        <x:v>Apr</x:v>
      </x:c>
      <x:c r="C10" s="14" t="n">
        <x:v>7677670</x:v>
      </x:c>
      <x:c r="D10" s="14" t="n">
        <x:v>6770</x:v>
      </x:c>
      <x:c r="E10" s="14" t="n">
        <x:v>30053</x:v>
      </x:c>
      <x:c r="F10" s="14" t="n">
        <x:v>1311</x:v>
      </x:c>
      <x:c r="G10" s="14" t="n">
        <x:v>6585</x:v>
      </x:c>
      <x:c r="H10" s="20" t="n">
        <x:v>0.2</x:v>
      </x:c>
      <x:c r="I10" s="13" t="n">
        <x:v>4</x:v>
      </x:c>
      <x:c r="J10" s="13" t="n">
        <x:v>6</x:v>
      </x:c>
    </x:row>
    <x:row r="11">
      <x:c r="A11" s="13" t="n">
        <x:v>2024</x:v>
      </x:c>
      <x:c r="B11" s="13" t="str">
        <x:v>May</x:v>
      </x:c>
      <x:c r="C11" s="14" t="n">
        <x:v>7704544</x:v>
      </x:c>
      <x:c r="D11" s="14" t="n">
        <x:v>6479</x:v>
      </x:c>
      <x:c r="E11" s="14" t="n">
        <x:v>28866</x:v>
      </x:c>
      <x:c r="F11" s="14" t="n">
        <x:v>1410</x:v>
      </x:c>
      <x:c r="G11" s="14" t="n">
        <x:v>6719</x:v>
      </x:c>
      <x:c r="H11" s="20" t="n">
        <x:v>0.22</x:v>
      </x:c>
      <x:c r="I11" s="13" t="n">
        <x:v>4</x:v>
      </x:c>
      <x:c r="J11" s="13" t="n">
        <x:v>6</x:v>
      </x:c>
    </x:row>
    <x:row r="12">
      <x:c r="A12" s="13" t="n">
        <x:v>2024</x:v>
      </x:c>
      <x:c r="B12" s="13" t="str">
        <x:v>Jun</x:v>
      </x:c>
      <x:c r="C12" s="14" t="n">
        <x:v>7730383</x:v>
      </x:c>
      <x:c r="D12" s="14" t="n">
        <x:v>5229</x:v>
      </x:c>
      <x:c r="E12" s="14" t="n">
        <x:v>28527</x:v>
      </x:c>
      <x:c r="F12" s="14" t="n">
        <x:v>1110</x:v>
      </x:c>
      <x:c r="G12" s="14" t="n">
        <x:v>6616</x:v>
      </x:c>
      <x:c r="H12" s="20" t="n">
        <x:v>0.17</x:v>
      </x:c>
      <x:c r="I12" s="13" t="n">
        <x:v>4</x:v>
      </x:c>
      <x:c r="J12" s="13" t="n">
        <x:v>6</x:v>
      </x:c>
    </x:row>
    <x:row r="13">
      <x:c r="A13" s="13" t="n">
        <x:v>2024</x:v>
      </x:c>
      <x:c r="B13" s="13" t="str">
        <x:v>Jul</x:v>
      </x:c>
      <x:c r="C13" s="14" t="n">
        <x:v>7758946</x:v>
      </x:c>
      <x:c r="D13" s="14" t="n">
        <x:v>6096</x:v>
      </x:c>
      <x:c r="E13" s="14" t="n">
        <x:v>27935</x:v>
      </x:c>
      <x:c r="F13" s="14" t="n">
        <x:v>1313</x:v>
      </x:c>
      <x:c r="G13" s="14" t="n">
        <x:v>6447</x:v>
      </x:c>
      <x:c r="H13" s="20" t="n">
        <x:v>0.2</x:v>
      </x:c>
      <x:c r="I13" s="13" t="n">
        <x:v>4</x:v>
      </x:c>
      <x:c r="J13" s="13" t="n">
        <x:v>6</x:v>
      </x:c>
    </x:row>
    <x:row r="14">
      <x:c r="A14" s="13" t="n">
        <x:v>2024</x:v>
      </x:c>
      <x:c r="B14" s="13" t="str">
        <x:v>Aug</x:v>
      </x:c>
      <x:c r="C14" s="14" t="n">
        <x:v>7787328</x:v>
      </x:c>
      <x:c r="D14" s="14" t="n">
        <x:v>6452</x:v>
      </x:c>
      <x:c r="E14" s="14" t="n">
        <x:v>28556</x:v>
      </x:c>
      <x:c r="F14" s="14" t="n">
        <x:v>1296</x:v>
      </x:c>
      <x:c r="G14" s="14" t="n">
        <x:v>6296</x:v>
      </x:c>
      <x:c r="H14" s="20" t="n">
        <x:v>0.2</x:v>
      </x:c>
      <x:c r="I14" s="13" t="n">
        <x:v>4</x:v>
      </x:c>
      <x:c r="J14" s="13" t="n">
        <x:v>6</x:v>
      </x:c>
    </x:row>
    <x:row r="15">
      <x:c r="A15" s="13" t="n">
        <x:v>2024</x:v>
      </x:c>
      <x:c r="B15" s="13" t="str">
        <x:v>Sep</x:v>
      </x:c>
      <x:c r="C15" s="14" t="n">
        <x:v>7808911</x:v>
      </x:c>
      <x:c r="D15" s="14" t="n">
        <x:v>6191</x:v>
      </x:c>
      <x:c r="E15" s="14" t="n">
        <x:v>26892</x:v>
      </x:c>
      <x:c r="F15" s="14" t="n">
        <x:v>1216</x:v>
      </x:c>
      <x:c r="G15" s="14" t="n">
        <x:v>6203</x:v>
      </x:c>
      <x:c r="H15" s="20" t="n">
        <x:v>0.19</x:v>
      </x:c>
      <x:c r="I15" s="13" t="n">
        <x:v>4</x:v>
      </x:c>
      <x:c r="J15" s="13" t="n">
        <x:v>6</x:v>
      </x:c>
    </x:row>
    <x:row r="16">
      <x:c r="A16" s="13" t="n">
        <x:v>2025</x:v>
      </x:c>
      <x:c r="B16" s="13" t="str">
        <x:v>Oct</x:v>
      </x:c>
      <x:c r="C16" s="14" t="n">
        <x:v>7829959</x:v>
      </x:c>
      <x:c r="D16" s="14" t="n">
        <x:v>6935</x:v>
      </x:c>
      <x:c r="E16" s="14" t="n">
        <x:v>26238</x:v>
      </x:c>
      <x:c r="F16" s="14" t="n">
        <x:v>1230</x:v>
      </x:c>
      <x:c r="G16" s="14" t="n">
        <x:v>6230</x:v>
      </x:c>
      <x:c r="H16" s="20" t="n">
        <x:v>0.19</x:v>
      </x:c>
      <x:c r="I16" s="13" t="n">
        <x:v>4</x:v>
      </x:c>
      <x:c r="J16" s="13" t="n">
        <x:v>6</x:v>
      </x:c>
    </x:row>
    <x:row r="17">
      <x:c r="A17" s="13" t="n">
        <x:v>2025</x:v>
      </x:c>
      <x:c r="B17" s="13" t="str">
        <x:v>Nov</x:v>
      </x:c>
      <x:c r="C17" s="14" t="n">
        <x:v>7851909</x:v>
      </x:c>
      <x:c r="D17" s="14" t="n">
        <x:v>6002</x:v>
      </x:c>
      <x:c r="E17" s="14" t="n">
        <x:v>27104</x:v>
      </x:c>
      <x:c r="F17" s="14" t="n">
        <x:v>1039</x:v>
      </x:c>
      <x:c r="G17" s="14" t="n">
        <x:v>6151</x:v>
      </x:c>
      <x:c r="H17" s="20" t="n">
        <x:v>0.16</x:v>
      </x:c>
      <x:c r="I17" s="13" t="n">
        <x:v>4</x:v>
      </x:c>
      <x:c r="J17" s="13" t="n">
        <x:v>6</x:v>
      </x:c>
    </x:row>
    <x:row r="18">
      <x:c r="A18" s="13" t="n">
        <x:v>2025</x:v>
      </x:c>
      <x:c r="B18" s="13" t="str">
        <x:v>Dec</x:v>
      </x:c>
      <x:c r="C18" s="14" t="n">
        <x:v>7883223</x:v>
      </x:c>
      <x:c r="D18" s="14" t="n">
        <x:v>6340</x:v>
      </x:c>
      <x:c r="E18" s="14" t="n">
        <x:v>28934</x:v>
      </x:c>
      <x:c r="F18" s="14" t="n">
        <x:v>1250</x:v>
      </x:c>
      <x:c r="G18" s="14" t="n">
        <x:v>6336</x:v>
      </x:c>
      <x:c r="H18" s="20" t="n">
        <x:v>0.19</x:v>
      </x:c>
      <x:c r="I18" s="13" t="n">
        <x:v>4</x:v>
      </x:c>
      <x:c r="J18" s="13" t="n">
        <x:v>6</x:v>
      </x:c>
    </x:row>
    <x:row r="19">
      <x:c r="A19" s="13" t="n">
        <x:v>2025</x:v>
      </x:c>
      <x:c r="B19" s="13" t="str">
        <x:v>Jan</x:v>
      </x:c>
      <x:c r="C19" s="14" t="n">
        <x:v>7919571</x:v>
      </x:c>
      <x:c r="D19" s="14" t="n">
        <x:v>7372</x:v>
      </x:c>
      <x:c r="E19" s="14" t="n">
        <x:v>30824</x:v>
      </x:c>
      <x:c r="F19" s="14" t="n">
        <x:v>1142</x:v>
      </x:c>
      <x:c r="G19" s="14" t="n">
        <x:v>6549</x:v>
      </x:c>
      <x:c r="H19" s="20" t="n">
        <x:v>0.17</x:v>
      </x:c>
      <x:c r="I19" s="13" t="n">
        <x:v>4</x:v>
      </x:c>
      <x:c r="J19" s="13" t="n">
        <x:v>6</x:v>
      </x:c>
    </x:row>
    <x:row r="20">
      <x:c r="A20" s="13" t="n">
        <x:v>2025</x:v>
      </x:c>
      <x:c r="B20" s="13" t="str">
        <x:v>Feb</x:v>
      </x:c>
      <x:c r="C20" s="14" t="n">
        <x:v>7945571</x:v>
      </x:c>
      <x:c r="D20" s="14" t="n">
        <x:v>6679</x:v>
      </x:c>
      <x:c r="E20" s="14" t="n">
        <x:v>31921</x:v>
      </x:c>
      <x:c r="F20" s="14" t="n">
        <x:v>990</x:v>
      </x:c>
      <x:c r="G20" s="14" t="n">
        <x:v>6587</x:v>
      </x:c>
      <x:c r="H20" s="20" t="n">
        <x:v>0.15</x:v>
      </x:c>
      <x:c r="I20" s="13" t="n">
        <x:v>4</x:v>
      </x:c>
      <x:c r="J20" s="13" t="n">
        <x:v>6</x:v>
      </x:c>
    </x:row>
    <x:row r="21">
      <x:c r="A21" s="13" t="n">
        <x:v>2025</x:v>
      </x:c>
      <x:c r="B21" s="13" t="str">
        <x:v>Mar</x:v>
      </x:c>
      <x:c r="C21" s="14" t="n">
        <x:v>7969683</x:v>
      </x:c>
      <x:c r="D21" s="14" t="n">
        <x:v>6468</x:v>
      </x:c>
      <x:c r="E21" s="14" t="n">
        <x:v>31691</x:v>
      </x:c>
      <x:c r="F21" s="14" t="n">
        <x:v>1154</x:v>
      </x:c>
      <x:c r="G21" s="14" t="n">
        <x:v>6633</x:v>
      </x:c>
      <x:c r="H21" s="20" t="n">
        <x:v>0.17</x:v>
      </x:c>
      <x:c r="I21" s="13" t="n">
        <x:v>4</x:v>
      </x:c>
      <x:c r="J21" s="13" t="n">
        <x:v>6</x:v>
      </x:c>
    </x:row>
    <x:row r="22">
      <x:c r="A22" s="13" t="n">
        <x:v>2025</x:v>
      </x:c>
      <x:c r="B22" s="13" t="str">
        <x:v>Apr</x:v>
      </x:c>
      <x:c r="C22" s="14" t="n">
        <x:v>7995166</x:v>
      </x:c>
      <x:c r="D22" s="14" t="n">
        <x:v>6448</x:v>
      </x:c>
      <x:c r="E22" s="14" t="n">
        <x:v>31405</x:v>
      </x:c>
      <x:c r="F22" s="14" t="n">
        <x:v>1102</x:v>
      </x:c>
      <x:c r="G22" s="14" t="n">
        <x:v>6552</x:v>
      </x:c>
      <x:c r="H22" s="20" t="n">
        <x:v>0.17</x:v>
      </x:c>
      <x:c r="I22" s="13" t="n">
        <x:v>4</x:v>
      </x:c>
      <x:c r="J22" s="13" t="n">
        <x:v>6</x:v>
      </x:c>
    </x:row>
    <x:row r="23">
      <x:c r="A23" s="13" t="n">
        <x:v>2025</x:v>
      </x:c>
      <x:c r="B23" s="13" t="str">
        <x:v>May</x:v>
      </x:c>
      <x:c r="C23" s="14" t="n">
        <x:v>8020755</x:v>
      </x:c>
      <x:c r="D23" s="14" t="n">
        <x:v>6607</x:v>
      </x:c>
      <x:c r="E23" s="14" t="n">
        <x:v>31067</x:v>
      </x:c>
      <x:c r="F23" s="14" t="n">
        <x:v>1246</x:v>
      </x:c>
      <x:c r="G23" s="14" t="n">
        <x:v>6652</x:v>
      </x:c>
      <x:c r="H23" s="20" t="n">
        <x:v>0.19</x:v>
      </x:c>
      <x:c r="I23" s="13" t="n">
        <x:v>4</x:v>
      </x:c>
      <x:c r="J23" s="13" t="n">
        <x:v>6</x:v>
      </x:c>
    </x:row>
    <x:row r="24">
      <x:c r="A24" s="13" t="n">
        <x:v>2025</x:v>
      </x:c>
      <x:c r="B24" s="13" t="str">
        <x:v>Jun</x:v>
      </x:c>
      <x:c r="C24" s="14" t="n">
        <x:v>8054947</x:v>
      </x:c>
      <x:c r="D24" s="14" t="n">
        <x:v>6357</x:v>
      </x:c>
      <x:c r="E24" s="14" t="n">
        <x:v>32058</x:v>
      </x:c>
      <x:c r="F24" s="14" t="n">
        <x:v>1158</x:v>
      </x:c>
      <x:c r="G24" s="14" t="n">
        <x:v>6655</x:v>
      </x:c>
      <x:c r="H24" s="20" t="n">
        <x:v>0.17</x:v>
      </x:c>
      <x:c r="I24" s="13" t="n">
        <x:v>4</x:v>
      </x:c>
      <x:c r="J24" s="13" t="n">
        <x:v>6</x:v>
      </x:c>
    </x:row>
    <x:row r="25">
      <x:c r="A25" s="13" t="n">
        <x:v>2025</x:v>
      </x:c>
      <x:c r="B25" s="13" t="str">
        <x:v>Jul</x:v>
      </x:c>
      <x:c r="C25" s="14" t="n">
        <x:v>8089085</x:v>
      </x:c>
      <x:c r="D25" s="14" t="n">
        <x:v>7121</x:v>
      </x:c>
      <x:c r="E25" s="14" t="n">
        <x:v>32832</x:v>
      </x:c>
      <x:c r="F25" s="14" t="n">
        <x:v>1221</x:v>
      </x:c>
      <x:c r="G25" s="14" t="n">
        <x:v>6613</x:v>
      </x:c>
      <x:c r="H25" s="20" t="n">
        <x:v>0.18</x:v>
      </x:c>
      <x:c r="I25" s="13" t="n">
        <x:v>4</x:v>
      </x:c>
      <x:c r="J25" s="13" t="n">
        <x:v>6</x:v>
      </x:c>
    </x:row>
    <x:row r="26">
      <x:c r="A26" s="13" t="n">
        <x:v>2025</x:v>
      </x:c>
      <x:c r="B26" s="13" t="str">
        <x:v>Aug</x:v>
      </x:c>
      <x:c r="C26" s="14" t="n">
        <x:v>8120561</x:v>
      </x:c>
      <x:c r="D26" s="14" t="n">
        <x:v>7397</x:v>
      </x:c>
      <x:c r="E26" s="14" t="n">
        <x:v>34533</x:v>
      </x:c>
      <x:c r="F26" s="14" t="n">
        <x:v>1349</x:v>
      </x:c>
      <x:c r="G26" s="14" t="n">
        <x:v>6733</x:v>
      </x:c>
      <x:c r="H26" s="20" t="n">
        <x:v>0.2</x:v>
      </x:c>
      <x:c r="I26" s="13" t="n">
        <x:v>4</x:v>
      </x:c>
      <x:c r="J26" s="13" t="n">
        <x:v>6</x:v>
      </x:c>
    </x:row>
    <x:row r="27">
      <x:c r="A27" s="13" t="n">
        <x:v>2025</x:v>
      </x:c>
      <x:c r="B27" s="13" t="str">
        <x:v>Sep</x:v>
      </x:c>
      <x:c r="C27" s="14" t="n">
        <x:v>8150049</x:v>
      </x:c>
      <x:c r="D27" s="14" t="n">
        <x:v>8596</x:v>
      </x:c>
      <x:c r="E27" s="14" t="n">
        <x:v>36311</x:v>
      </x:c>
      <x:c r="F27" s="14" t="n">
        <x:v>1343</x:v>
      </x:c>
      <x:c r="G27" s="14" t="n">
        <x:v>7088</x:v>
      </x:c>
      <x:c r="H27" s="20" t="n">
        <x:v>0.2</x:v>
      </x:c>
      <x:c r="I27" s="13" t="n">
        <x:v>4</x:v>
      </x:c>
      <x:c r="J27" s="13" t="n">
        <x:v>6</x:v>
      </x:c>
    </x:row>
    <x:row r="28">
      <x:c r="A28" s="13" t="n">
        <x:v>2026</x:v>
      </x:c>
      <x:c r="B28" s="13" t="str">
        <x:v>Oct</x:v>
      </x:c>
      <x:c r="C28" s="14" t="n">
        <x:v>8176266</x:v>
      </x:c>
      <x:c r="D28" s="14" t="n">
        <x:v>9690</x:v>
      </x:c>
      <x:c r="E28" s="14" t="n">
        <x:v>37201</x:v>
      </x:c>
      <x:c r="F28" s="14" t="n">
        <x:v>1311</x:v>
      </x:c>
      <x:c r="G28" s="14" t="n">
        <x:v>7628</x:v>
      </x:c>
      <x:c r="H28" s="20" t="n">
        <x:v>0.19</x:v>
      </x:c>
      <x:c r="I28" s="13" t="n">
        <x:v>4</x:v>
      </x:c>
      <x:c r="J28" s="13" t="n">
        <x:v>6</x:v>
      </x:c>
    </x:row>
    <x:row r="29">
      <x:c r="A29" s="13" t="n">
        <x:v>2026</x:v>
      </x:c>
      <x:c r="B29" s="13" t="str">
        <x:v>Nov</x:v>
      </x:c>
      <x:c r="C29" s="14" t="n">
        <x:v>8194450</x:v>
      </x:c>
      <x:c r="D29" s="14" t="n">
        <x:v>7587</x:v>
      </x:c>
      <x:c r="E29" s="14" t="n">
        <x:v>37552</x:v>
      </x:c>
      <x:c r="F29" s="14" t="n">
        <x:v>1238</x:v>
      </x:c>
      <x:c r="G29" s="14" t="n">
        <x:v>7791</x:v>
      </x:c>
      <x:c r="H29" s="20" t="n">
        <x:v>0.18</x:v>
      </x:c>
      <x:c r="I29" s="13" t="n">
        <x:v>4</x:v>
      </x:c>
      <x:c r="J29" s="13" t="n">
        <x:v>6</x:v>
      </x:c>
    </x:row>
    <x:row r="30">
      <x:c r="A30" s="13" t="n">
        <x:v>2026</x:v>
      </x:c>
      <x:c r="B30" s="13" t="str">
        <x:v>Dec</x:v>
      </x:c>
      <x:c r="C30" s="14" t="n">
        <x:v>8218177</x:v>
      </x:c>
      <x:c r="D30" s="14" t="n">
        <x:v>9021</x:v>
      </x:c>
      <x:c r="E30" s="14" t="n">
        <x:v>38946</x:v>
      </x:c>
      <x:c r="F30" s="14" t="n">
        <x:v>1476</x:v>
      </x:c>
      <x:c r="G30" s="14" t="n">
        <x:v>8235</x:v>
      </x:c>
      <x:c r="H30" s="20" t="n">
        <x:v>0.22</x:v>
      </x:c>
      <x:c r="I30" s="13" t="n">
        <x:v>4</x:v>
      </x:c>
      <x:c r="J30" s="13" t="n">
        <x:v>6</x:v>
      </x:c>
    </x:row>
    <x:row r="31">
      <x:c r="A31" s="13" t="n">
        <x:v>2026</x:v>
      </x:c>
      <x:c r="B31" s="13" t="str">
        <x:v>Jan</x:v>
      </x:c>
      <x:c r="C31" s="14" t="n">
        <x:v>8247428</x:v>
      </x:c>
      <x:c r="D31" s="14" t="n">
        <x:v>8569</x:v>
      </x:c>
      <x:c r="E31" s="14" t="n">
        <x:v>39271</x:v>
      </x:c>
      <x:c r="F31" s="14" t="n">
        <x:v>1364</x:v>
      </x:c>
      <x:c r="G31" s="14" t="n">
        <x:v>8477</x:v>
      </x:c>
      <x:c r="H31" s="20" t="n">
        <x:v>0.2</x:v>
      </x:c>
      <x:c r="I31" s="13" t="n">
        <x:v>4</x:v>
      </x:c>
      <x:c r="J31" s="13" t="n">
        <x:v>6</x:v>
      </x:c>
    </x:row>
    <x:row r="32">
      <x:c r="A32" s="13" t="n">
        <x:v>2026</x:v>
      </x:c>
      <x:c r="B32" s="13" t="str">
        <x:v>Feb</x:v>
      </x:c>
      <x:c r="C32" s="14" t="n">
        <x:v>8264389</x:v>
      </x:c>
      <x:c r="D32" s="14" t="n">
        <x:v>8864</x:v>
      </x:c>
      <x:c r="E32" s="14" t="n">
        <x:v>43184</x:v>
      </x:c>
      <x:c r="F32" s="14" t="n">
        <x:v>1247</x:v>
      </x:c>
      <x:c r="G32" s="14" t="n">
        <x:v>8721</x:v>
      </x:c>
      <x:c r="H32" s="20" t="n">
        <x:v>0.18</x:v>
      </x:c>
      <x:c r="I32" s="13" t="n">
        <x:v>4</x:v>
      </x:c>
      <x:c r="J32" s="13" t="n">
        <x:v>6</x:v>
      </x:c>
    </x:row>
    <x:row r="33">
      <x:c r="A33" s="13" t="n">
        <x:v>2026</x:v>
      </x:c>
      <x:c r="B33" s="13" t="str">
        <x:v>Mar</x:v>
      </x:c>
      <x:c r="C33" s="14" t="n">
        <x:v>8277765</x:v>
      </x:c>
      <x:c r="D33" s="14" t="n">
        <x:v>9938</x:v>
      </x:c>
      <x:c r="E33" s="14" t="n">
        <x:v>43307</x:v>
      </x:c>
      <x:c r="F33" s="14" t="n">
        <x:v>1572</x:v>
      </x:c>
      <x:c r="G33" s="14" t="n">
        <x:v>8945</x:v>
      </x:c>
      <x:c r="H33" s="20" t="n">
        <x:v>0.23</x:v>
      </x:c>
      <x:c r="I33" s="13" t="n">
        <x:v>4</x:v>
      </x:c>
      <x:c r="J33" s="13" t="n">
        <x:v>6</x:v>
      </x:c>
    </x:row>
    <x:row r="34">
      <x:c r="A34" s="13" t="n">
        <x:v>2026</x:v>
      </x:c>
      <x:c r="B34" s="13" t="str">
        <x:v>Apr</x:v>
      </x:c>
      <x:c r="C34" s="14" t="n">
        <x:v>8296826</x:v>
      </x:c>
      <x:c r="D34" s="14" t="n">
        <x:v>10666</x:v>
      </x:c>
      <x:c r="E34" s="14" t="n">
        <x:v>44891</x:v>
      </x:c>
      <x:c r="F34" s="14" t="n">
        <x:v>1818</x:v>
      </x:c>
      <x:c r="G34" s="14" t="n">
        <x:v>9108</x:v>
      </x:c>
      <x:c r="H34" s="20" t="n">
        <x:v>0.26</x:v>
      </x:c>
      <x:c r="I34" s="13" t="n">
        <x:v>4</x:v>
      </x:c>
      <x:c r="J34" s="13" t="n">
        <x:v>6</x:v>
      </x:c>
    </x:row>
    <x:row r="35">
      <x:c r="A35" s="13" t="n">
        <x:v>2026</x:v>
      </x:c>
      <x:c r="B35" s="13" t="str">
        <x:v>May</x:v>
      </x:c>
      <x:c r="C35" s="14" t="n">
        <x:v>8323271</x:v>
      </x:c>
      <x:c r="D35" s="14" t="n">
        <x:v>9474</x:v>
      </x:c>
      <x:c r="E35" s="14" t="n">
        <x:v>45874</x:v>
      </x:c>
      <x:c r="F35" s="14" t="n">
        <x:v>1630</x:v>
      </x:c>
      <x:c r="G35" s="14" t="n">
        <x:v>9422</x:v>
      </x:c>
      <x:c r="H35" s="20" t="n">
        <x:v>0.23</x:v>
      </x:c>
      <x:c r="I35" s="13" t="n">
        <x:v>4</x:v>
      </x:c>
      <x:c r="J35" s="13" t="n">
        <x:v>6</x:v>
      </x:c>
    </x:row>
    <x:row r="36">
      <x:c r="A36" s="13" t="n">
        <x:v>2026</x:v>
      </x:c>
      <x:c r="B36" s="13" t="str">
        <x:v>Jun</x:v>
      </x:c>
      <x:c r="C36" s="14" t="n">
        <x:v>8355089</x:v>
      </x:c>
      <x:c r="D36" s="14" t="n">
        <x:v>10264</x:v>
      </x:c>
      <x:c r="E36" s="14" t="n">
        <x:v>48018</x:v>
      </x:c>
      <x:c r="F36" s="14" t="n">
        <x:v>1909</x:v>
      </x:c>
      <x:c r="G36" s="14" t="n">
        <x:v>9629</x:v>
      </x:c>
      <x:c r="H36" s="20" t="n">
        <x:v>0.27</x:v>
      </x:c>
      <x:c r="I36" s="13" t="n">
        <x:v>4</x:v>
      </x:c>
      <x:c r="J36" s="13" t="n">
        <x:v>6</x:v>
      </x:c>
    </x:row>
    <x:row r="37">
      <x:c r="A37" s="13" t="n">
        <x:v>2026</x:v>
      </x:c>
      <x:c r="B37" s="13" t="str">
        <x:v>Jul</x:v>
      </x:c>
      <x:c r="C37" s="14" t="n">
        <x:v>8387103</x:v>
      </x:c>
      <x:c r="D37" s="14" t="n">
        <x:v>10993</x:v>
      </x:c>
      <x:c r="E37" s="14" t="n">
        <x:v>50364</x:v>
      </x:c>
      <x:c r="F37" s="14" t="n">
        <x:v>1906</x:v>
      </x:c>
      <x:c r="G37" s="14" t="n">
        <x:v>10033</x:v>
      </x:c>
      <x:c r="H37" s="20" t="n">
        <x:v>0.27</x:v>
      </x:c>
      <x:c r="I37" s="13" t="n">
        <x:v>4</x:v>
      </x:c>
      <x:c r="J37" s="13" t="n">
        <x:v>6</x:v>
      </x:c>
    </x:row>
    <x:row r="38">
      <x:c r="A38" s="13" t="n">
        <x:v>2026</x:v>
      </x:c>
      <x:c r="B38" s="13" t="str">
        <x:v>Aug</x:v>
      </x:c>
      <x:c r="C38" s="14" t="n">
        <x:v>8416639</x:v>
      </x:c>
      <x:c r="D38" s="14" t="n">
        <x:v>9749</x:v>
      </x:c>
      <x:c r="E38" s="14" t="n">
        <x:v>52730</x:v>
      </x:c>
      <x:c r="F38" s="14" t="n">
        <x:v>1960</x:v>
      </x:c>
      <x:c r="G38" s="14" t="n">
        <x:v>10181</x:v>
      </x:c>
      <x:c r="H38" s="20" t="n">
        <x:v>0.28</x:v>
      </x:c>
      <x:c r="I38" s="13" t="n">
        <x:v>4</x:v>
      </x:c>
      <x:c r="J38" s="13" t="n">
        <x:v>6</x:v>
      </x:c>
    </x:row>
  </x:sheetData>
  <x:pageMargins left="0.7" right="0.7" top="0.75" bottom="0.75" header="0.3" footer="0.3"/>
  <x:tableParts count="1">
    <x:tablePart xmlns:r="http://schemas.openxmlformats.org/officeDocument/2006/relationships" r:id="Rffcd0c9aabb04ee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24" hidden="0" customWidth="1"/>
    <x:col min="4" max="4" width="24" hidden="0" customWidth="1"/>
    <x:col min="5" max="5" width="24" hidden="0" customWidth="1"/>
    <x:col min="6" max="6" width="25" hidden="0" customWidth="1"/>
    <x:col min="7" max="7" width="25" hidden="0" customWidth="1"/>
    <x:col min="8" max="8" width="12" hidden="0" customWidth="1"/>
    <x:col min="9" max="9" width="12" hidden="0" customWidth="1"/>
  </x:cols>
  <x:sheetData>
    <x:row r="1" ht="38" customHeight="1">
      <x:c r="A1" s="12" t="str">
        <x:v>State / territory</x:v>
      </x:c>
      <x:c r="B1" s="12" t="str">
        <x:v>Dispositions · Jul 2026</x:v>
      </x:c>
      <x:c r="C1" s="12" t="str">
        <x:v>Recovery · Jul 2026 %</x:v>
      </x:c>
      <x:c r="D1" s="12" t="str">
        <x:v>Recovery · Jun 2026 %</x:v>
      </x:c>
      <x:c r="E1" s="12" t="str">
        <x:v>Recovery · Jul 2025 %</x:v>
      </x:c>
      <x:c r="F1" s="12" t="str">
        <x:v>Change vs Jun 2026 (pp)</x:v>
      </x:c>
      <x:c r="G1" s="12" t="str">
        <x:v>Change vs Jul 2025 (pp)</x:v>
      </x:c>
      <x:c r="H1" s="12" t="str">
        <x:v>HUD table</x:v>
      </x:c>
      <x:c r="I1" s="12" t="str">
        <x:v>PDF page</x:v>
      </x:c>
    </x:row>
    <x:row r="2">
      <x:c r="A2" s="13" t="str">
        <x:v>US</x:v>
      </x:c>
      <x:c r="B2" s="14" t="n">
        <x:v>392</x:v>
      </x:c>
      <x:c r="C2" s="21" t="n">
        <x:v>50.5</x:v>
      </x:c>
      <x:c r="D2" s="21" t="n">
        <x:v>51.4</x:v>
      </x:c>
      <x:c r="E2" s="21" t="n">
        <x:v>54.2</x:v>
      </x:c>
      <x:c r="F2" s="22" t="n">
        <x:v>-0.9</x:v>
      </x:c>
      <x:c r="G2" s="22" t="n">
        <x:v>-3.7</x:v>
      </x:c>
      <x:c r="H2" s="13" t="n">
        <x:v>5</x:v>
      </x:c>
      <x:c r="I2" s="13" t="n">
        <x:v>7</x:v>
      </x:c>
    </x:row>
    <x:row r="3">
      <x:c r="A3" s="13" t="str">
        <x:v>TX</x:v>
      </x:c>
      <x:c r="B3" s="14" t="n">
        <x:v>66</x:v>
      </x:c>
      <x:c r="C3" s="21" t="n">
        <x:v>43.5</x:v>
      </x:c>
      <x:c r="D3" s="21" t="n">
        <x:v>42.9</x:v>
      </x:c>
      <x:c r="E3" s="21" t="n">
        <x:v>49.3</x:v>
      </x:c>
      <x:c r="F3" s="22" t="n">
        <x:v>0.7</x:v>
      </x:c>
      <x:c r="G3" s="22" t="n">
        <x:v>-5.7</x:v>
      </x:c>
      <x:c r="H3" s="13" t="n">
        <x:v>5</x:v>
      </x:c>
      <x:c r="I3" s="13" t="n">
        <x:v>7</x:v>
      </x:c>
    </x:row>
    <x:row r="4">
      <x:c r="A4" s="13" t="str">
        <x:v>AL</x:v>
      </x:c>
      <x:c r="B4" s="14" t="n">
        <x:v>24</x:v>
      </x:c>
      <x:c r="C4" s="21" t="n">
        <x:v>49.3</x:v>
      </x:c>
      <x:c r="D4" s="21" t="n">
        <x:v>47.8</x:v>
      </x:c>
      <x:c r="E4" s="21" t="n">
        <x:v>42.2</x:v>
      </x:c>
      <x:c r="F4" s="22" t="n">
        <x:v>1.5</x:v>
      </x:c>
      <x:c r="G4" s="22" t="n">
        <x:v>7.1</x:v>
      </x:c>
      <x:c r="H4" s="13" t="n">
        <x:v>5</x:v>
      </x:c>
      <x:c r="I4" s="13" t="n">
        <x:v>7</x:v>
      </x:c>
    </x:row>
    <x:row r="5">
      <x:c r="A5" s="13" t="str">
        <x:v>LA</x:v>
      </x:c>
      <x:c r="B5" s="14" t="n">
        <x:v>24</x:v>
      </x:c>
      <x:c r="C5" s="21" t="n">
        <x:v>36</x:v>
      </x:c>
      <x:c r="D5" s="21" t="n">
        <x:v>44.6</x:v>
      </x:c>
      <x:c r="E5" s="21" t="n">
        <x:v>37.8</x:v>
      </x:c>
      <x:c r="F5" s="22" t="n">
        <x:v>-8.6</x:v>
      </x:c>
      <x:c r="G5" s="22" t="n">
        <x:v>-1.8</x:v>
      </x:c>
      <x:c r="H5" s="13" t="n">
        <x:v>5</x:v>
      </x:c>
      <x:c r="I5" s="13" t="n">
        <x:v>7</x:v>
      </x:c>
    </x:row>
    <x:row r="6">
      <x:c r="A6" s="13" t="str">
        <x:v>MS</x:v>
      </x:c>
      <x:c r="B6" s="14" t="n">
        <x:v>21</x:v>
      </x:c>
      <x:c r="C6" s="21" t="n">
        <x:v>56.5</x:v>
      </x:c>
      <x:c r="D6" s="21" t="n">
        <x:v>53.3</x:v>
      </x:c>
      <x:c r="E6" s="21" t="n">
        <x:v>56</x:v>
      </x:c>
      <x:c r="F6" s="22" t="n">
        <x:v>3.2</x:v>
      </x:c>
      <x:c r="G6" s="22" t="n">
        <x:v>0.4</x:v>
      </x:c>
      <x:c r="H6" s="13" t="n">
        <x:v>5</x:v>
      </x:c>
      <x:c r="I6" s="13" t="n">
        <x:v>7</x:v>
      </x:c>
    </x:row>
    <x:row r="7">
      <x:c r="A7" s="13" t="str">
        <x:v>GA</x:v>
      </x:c>
      <x:c r="B7" s="14" t="n">
        <x:v>19</x:v>
      </x:c>
      <x:c r="C7" s="21" t="n">
        <x:v>57</x:v>
      </x:c>
      <x:c r="D7" s="21" t="n">
        <x:v>49.1</x:v>
      </x:c>
      <x:c r="E7" s="21" t="n">
        <x:v>57.2</x:v>
      </x:c>
      <x:c r="F7" s="22" t="n">
        <x:v>7.9</x:v>
      </x:c>
      <x:c r="G7" s="22" t="n">
        <x:v>-0.2</x:v>
      </x:c>
      <x:c r="H7" s="13" t="n">
        <x:v>5</x:v>
      </x:c>
      <x:c r="I7" s="13" t="n">
        <x:v>7</x:v>
      </x:c>
    </x:row>
    <x:row r="8">
      <x:c r="A8" s="13" t="str">
        <x:v>IA</x:v>
      </x:c>
      <x:c r="B8" s="14" t="n">
        <x:v>16</x:v>
      </x:c>
      <x:c r="C8" s="21" t="n">
        <x:v>43.7</x:v>
      </x:c>
      <x:c r="D8" s="21" t="n">
        <x:v>49.1</x:v>
      </x:c>
      <x:c r="E8" s="21" t="n">
        <x:v>51.8</x:v>
      </x:c>
      <x:c r="F8" s="22" t="n">
        <x:v>-5.4</x:v>
      </x:c>
      <x:c r="G8" s="22" t="n">
        <x:v>-8.1</x:v>
      </x:c>
      <x:c r="H8" s="13" t="n">
        <x:v>5</x:v>
      </x:c>
      <x:c r="I8" s="13" t="n">
        <x:v>7</x:v>
      </x:c>
    </x:row>
    <x:row r="9">
      <x:c r="A9" s="13" t="str">
        <x:v>KY</x:v>
      </x:c>
      <x:c r="B9" s="14" t="n">
        <x:v>16</x:v>
      </x:c>
      <x:c r="C9" s="21" t="n">
        <x:v>26.6</x:v>
      </x:c>
      <x:c r="D9" s="21" t="n">
        <x:v>29.6</x:v>
      </x:c>
      <x:c r="E9" s="21" t="n">
        <x:v>34.4</x:v>
      </x:c>
      <x:c r="F9" s="22" t="n">
        <x:v>-3.1</x:v>
      </x:c>
      <x:c r="G9" s="22" t="n">
        <x:v>-7.9</x:v>
      </x:c>
      <x:c r="H9" s="13" t="n">
        <x:v>5</x:v>
      </x:c>
      <x:c r="I9" s="13" t="n">
        <x:v>7</x:v>
      </x:c>
    </x:row>
    <x:row r="10">
      <x:c r="A10" s="13" t="str">
        <x:v>CO</x:v>
      </x:c>
      <x:c r="B10" s="14" t="n">
        <x:v>14</x:v>
      </x:c>
      <x:c r="C10" s="21" t="n">
        <x:v>48.7</x:v>
      </x:c>
      <x:c r="D10" s="21" t="n">
        <x:v>50.8</x:v>
      </x:c>
      <x:c r="E10" s="21" t="n">
        <x:v>49.6</x:v>
      </x:c>
      <x:c r="F10" s="22" t="n">
        <x:v>-2.1</x:v>
      </x:c>
      <x:c r="G10" s="22" t="n">
        <x:v>-0.9</x:v>
      </x:c>
      <x:c r="H10" s="13" t="n">
        <x:v>5</x:v>
      </x:c>
      <x:c r="I10" s="13" t="n">
        <x:v>7</x:v>
      </x:c>
    </x:row>
    <x:row r="11">
      <x:c r="A11" s="13" t="str">
        <x:v>OH</x:v>
      </x:c>
      <x:c r="B11" s="14" t="n">
        <x:v>14</x:v>
      </x:c>
      <x:c r="C11" s="21" t="n">
        <x:v>54.6</x:v>
      </x:c>
      <x:c r="D11" s="21" t="n">
        <x:v>41</x:v>
      </x:c>
      <x:c r="E11" s="21" t="n">
        <x:v>66.1</x:v>
      </x:c>
      <x:c r="F11" s="22" t="n">
        <x:v>13.6</x:v>
      </x:c>
      <x:c r="G11" s="22" t="n">
        <x:v>-11.4</x:v>
      </x:c>
      <x:c r="H11" s="13" t="n">
        <x:v>5</x:v>
      </x:c>
      <x:c r="I11" s="13" t="n">
        <x:v>7</x:v>
      </x:c>
    </x:row>
    <x:row r="12">
      <x:c r="A12" s="13" t="str">
        <x:v>FL</x:v>
      </x:c>
      <x:c r="B12" s="14" t="n">
        <x:v>13</x:v>
      </x:c>
      <x:c r="C12" s="21" t="n">
        <x:v>42.6</x:v>
      </x:c>
      <x:c r="D12" s="21" t="n">
        <x:v>35.7</x:v>
      </x:c>
      <x:c r="E12" s="21" t="n">
        <x:v>54.2</x:v>
      </x:c>
      <x:c r="F12" s="22" t="n">
        <x:v>7</x:v>
      </x:c>
      <x:c r="G12" s="22" t="n">
        <x:v>-11.5</x:v>
      </x:c>
      <x:c r="H12" s="13" t="n">
        <x:v>5</x:v>
      </x:c>
      <x:c r="I12" s="13" t="n">
        <x:v>7</x:v>
      </x:c>
    </x:row>
    <x:row r="13">
      <x:c r="A13" s="13" t="str">
        <x:v>MI</x:v>
      </x:c>
      <x:c r="B13" s="14" t="n">
        <x:v>13</x:v>
      </x:c>
      <x:c r="C13" s="21" t="n">
        <x:v>42.2</x:v>
      </x:c>
      <x:c r="D13" s="21" t="n">
        <x:v>54.9</x:v>
      </x:c>
      <x:c r="E13" s="21" t="n">
        <x:v>45.3</x:v>
      </x:c>
      <x:c r="F13" s="22" t="n">
        <x:v>-12.7</x:v>
      </x:c>
      <x:c r="G13" s="22" t="n">
        <x:v>-3.1</x:v>
      </x:c>
      <x:c r="H13" s="13" t="n">
        <x:v>5</x:v>
      </x:c>
      <x:c r="I13" s="13" t="n">
        <x:v>7</x:v>
      </x:c>
    </x:row>
    <x:row r="14">
      <x:c r="A14" s="13" t="str">
        <x:v>CA</x:v>
      </x:c>
      <x:c r="B14" s="14" t="n">
        <x:v>12</x:v>
      </x:c>
      <x:c r="C14" s="21" t="n">
        <x:v>58</x:v>
      </x:c>
      <x:c r="D14" s="21" t="n">
        <x:v>74.7</x:v>
      </x:c>
      <x:c r="E14" s="21" t="n">
        <x:v>73.2</x:v>
      </x:c>
      <x:c r="F14" s="22" t="n">
        <x:v>-16.7</x:v>
      </x:c>
      <x:c r="G14" s="22" t="n">
        <x:v>-15.1</x:v>
      </x:c>
      <x:c r="H14" s="13" t="n">
        <x:v>5</x:v>
      </x:c>
      <x:c r="I14" s="13" t="n">
        <x:v>7</x:v>
      </x:c>
    </x:row>
    <x:row r="15">
      <x:c r="A15" s="13" t="str">
        <x:v>VA</x:v>
      </x:c>
      <x:c r="B15" s="14" t="n">
        <x:v>12</x:v>
      </x:c>
      <x:c r="C15" s="21" t="n">
        <x:v>56.2</x:v>
      </x:c>
      <x:c r="D15" s="21" t="n">
        <x:v>58.9</x:v>
      </x:c>
      <x:c r="E15" s="21" t="n">
        <x:v>67.2</x:v>
      </x:c>
      <x:c r="F15" s="22" t="n">
        <x:v>-2.7</x:v>
      </x:c>
      <x:c r="G15" s="22" t="n">
        <x:v>-11.1</x:v>
      </x:c>
      <x:c r="H15" s="13" t="n">
        <x:v>5</x:v>
      </x:c>
      <x:c r="I15" s="13" t="n">
        <x:v>7</x:v>
      </x:c>
    </x:row>
    <x:row r="16">
      <x:c r="A16" s="13" t="str">
        <x:v>IL</x:v>
      </x:c>
      <x:c r="B16" s="14" t="n">
        <x:v>11</x:v>
      </x:c>
      <x:c r="C16" s="21" t="n">
        <x:v>35.8</x:v>
      </x:c>
      <x:c r="D16" s="21" t="n">
        <x:v>20.9</x:v>
      </x:c>
      <x:c r="E16" s="21" t="n">
        <x:v>18.2</x:v>
      </x:c>
      <x:c r="F16" s="22" t="n">
        <x:v>14.9</x:v>
      </x:c>
      <x:c r="G16" s="22" t="n">
        <x:v>17.6</x:v>
      </x:c>
      <x:c r="H16" s="13" t="n">
        <x:v>5</x:v>
      </x:c>
      <x:c r="I16" s="13" t="n">
        <x:v>7</x:v>
      </x:c>
    </x:row>
    <x:row r="17">
      <x:c r="A17" s="13" t="str">
        <x:v>MO</x:v>
      </x:c>
      <x:c r="B17" s="14" t="n">
        <x:v>9</x:v>
      </x:c>
      <x:c r="C17" s="21" t="n">
        <x:v>65.2</x:v>
      </x:c>
      <x:c r="D17" s="21" t="n">
        <x:v>32.9</x:v>
      </x:c>
      <x:c r="E17" s="21" t="n">
        <x:v>63.4</x:v>
      </x:c>
      <x:c r="F17" s="22" t="n">
        <x:v>32.3</x:v>
      </x:c>
      <x:c r="G17" s="22" t="n">
        <x:v>1.8</x:v>
      </x:c>
      <x:c r="H17" s="13" t="n">
        <x:v>5</x:v>
      </x:c>
      <x:c r="I17" s="13" t="n">
        <x:v>7</x:v>
      </x:c>
    </x:row>
    <x:row r="18">
      <x:c r="A18" s="13" t="str">
        <x:v>PA</x:v>
      </x:c>
      <x:c r="B18" s="14" t="n">
        <x:v>9</x:v>
      </x:c>
      <x:c r="C18" s="21" t="n">
        <x:v>35.6</x:v>
      </x:c>
      <x:c r="D18" s="21" t="n">
        <x:v>36.5</x:v>
      </x:c>
      <x:c r="E18" s="21" t="n">
        <x:v>53.2</x:v>
      </x:c>
      <x:c r="F18" s="22" t="n">
        <x:v>-0.9</x:v>
      </x:c>
      <x:c r="G18" s="22" t="n">
        <x:v>-17.6</x:v>
      </x:c>
      <x:c r="H18" s="13" t="n">
        <x:v>5</x:v>
      </x:c>
      <x:c r="I18" s="13" t="n">
        <x:v>7</x:v>
      </x:c>
    </x:row>
    <x:row r="19">
      <x:c r="A19" s="13" t="str">
        <x:v>IN</x:v>
      </x:c>
      <x:c r="B19" s="14" t="n">
        <x:v>8</x:v>
      </x:c>
      <x:c r="C19" s="21" t="n">
        <x:v>45.5</x:v>
      </x:c>
      <x:c r="D19" s="21" t="n">
        <x:v>44.2</x:v>
      </x:c>
      <x:c r="E19" s="21" t="n">
        <x:v>42.1</x:v>
      </x:c>
      <x:c r="F19" s="22" t="n">
        <x:v>1.3</x:v>
      </x:c>
      <x:c r="G19" s="22" t="n">
        <x:v>3.4</x:v>
      </x:c>
      <x:c r="H19" s="13" t="n">
        <x:v>5</x:v>
      </x:c>
      <x:c r="I19" s="13" t="n">
        <x:v>7</x:v>
      </x:c>
    </x:row>
    <x:row r="20">
      <x:c r="A20" s="13" t="str">
        <x:v>OK</x:v>
      </x:c>
      <x:c r="B20" s="14" t="n">
        <x:v>8</x:v>
      </x:c>
      <x:c r="C20" s="21" t="n">
        <x:v>46.3</x:v>
      </x:c>
      <x:c r="D20" s="21" t="n">
        <x:v>46</x:v>
      </x:c>
      <x:c r="E20" s="21" t="n">
        <x:v>44.1</x:v>
      </x:c>
      <x:c r="F20" s="22" t="n">
        <x:v>0.3</x:v>
      </x:c>
      <x:c r="G20" s="22" t="n">
        <x:v>2.1</x:v>
      </x:c>
      <x:c r="H20" s="13" t="n">
        <x:v>5</x:v>
      </x:c>
      <x:c r="I20" s="13" t="n">
        <x:v>7</x:v>
      </x:c>
    </x:row>
    <x:row r="21">
      <x:c r="A21" s="13" t="str">
        <x:v>WA</x:v>
      </x:c>
      <x:c r="B21" s="14" t="n">
        <x:v>8</x:v>
      </x:c>
      <x:c r="C21" s="21" t="n">
        <x:v>60.5</x:v>
      </x:c>
      <x:c r="D21" s="21" t="n">
        <x:v>54.8</x:v>
      </x:c>
      <x:c r="E21" s="21" t="n">
        <x:v>65.2</x:v>
      </x:c>
      <x:c r="F21" s="22" t="n">
        <x:v>5.8</x:v>
      </x:c>
      <x:c r="G21" s="22" t="n">
        <x:v>-4.7</x:v>
      </x:c>
      <x:c r="H21" s="13" t="n">
        <x:v>5</x:v>
      </x:c>
      <x:c r="I21" s="13" t="n">
        <x:v>7</x:v>
      </x:c>
    </x:row>
    <x:row r="22">
      <x:c r="A22" s="13" t="str">
        <x:v>AZ</x:v>
      </x:c>
      <x:c r="B22" s="14" t="n">
        <x:v>7</x:v>
      </x:c>
      <x:c r="C22" s="21" t="n">
        <x:v>57.1</x:v>
      </x:c>
      <x:c r="D22" s="21" t="n">
        <x:v>55.4</x:v>
      </x:c>
      <x:c r="E22" s="21" t="n">
        <x:v>61.8</x:v>
      </x:c>
      <x:c r="F22" s="22" t="n">
        <x:v>1.6</x:v>
      </x:c>
      <x:c r="G22" s="22" t="n">
        <x:v>-4.7</x:v>
      </x:c>
      <x:c r="H22" s="13" t="n">
        <x:v>5</x:v>
      </x:c>
      <x:c r="I22" s="13" t="n">
        <x:v>7</x:v>
      </x:c>
    </x:row>
    <x:row r="23">
      <x:c r="A23" s="13" t="str">
        <x:v>TN</x:v>
      </x:c>
      <x:c r="B23" s="14" t="n">
        <x:v>7</x:v>
      </x:c>
      <x:c r="C23" s="21" t="n">
        <x:v>61.5</x:v>
      </x:c>
      <x:c r="D23" s="21" t="n">
        <x:v>69.9</x:v>
      </x:c>
      <x:c r="E23" s="21" t="n">
        <x:v>87.3</x:v>
      </x:c>
      <x:c r="F23" s="22" t="n">
        <x:v>-8.4</x:v>
      </x:c>
      <x:c r="G23" s="22" t="n">
        <x:v>-25.7</x:v>
      </x:c>
      <x:c r="H23" s="13" t="n">
        <x:v>5</x:v>
      </x:c>
      <x:c r="I23" s="13" t="n">
        <x:v>7</x:v>
      </x:c>
    </x:row>
    <x:row r="24">
      <x:c r="A24" s="13" t="str">
        <x:v>SC</x:v>
      </x:c>
      <x:c r="B24" s="14" t="n">
        <x:v>6</x:v>
      </x:c>
      <x:c r="C24" s="21" t="n">
        <x:v>62.4</x:v>
      </x:c>
      <x:c r="D24" s="21" t="n">
        <x:v>56.4</x:v>
      </x:c>
      <x:c r="E24" s="21" t="n">
        <x:v>59.7</x:v>
      </x:c>
      <x:c r="F24" s="22" t="n">
        <x:v>6.1</x:v>
      </x:c>
      <x:c r="G24" s="22" t="n">
        <x:v>2.7</x:v>
      </x:c>
      <x:c r="H24" s="13" t="n">
        <x:v>5</x:v>
      </x:c>
      <x:c r="I24" s="13" t="n">
        <x:v>7</x:v>
      </x:c>
    </x:row>
    <x:row r="25">
      <x:c r="A25" s="13" t="str">
        <x:v>AR</x:v>
      </x:c>
      <x:c r="B25" s="14" t="n">
        <x:v>5</x:v>
      </x:c>
      <x:c r="C25" s="21" t="n">
        <x:v>24.7</x:v>
      </x:c>
      <x:c r="D25" s="21" t="n">
        <x:v>37</x:v>
      </x:c>
      <x:c r="E25" s="21" t="n">
        <x:v>71.2</x:v>
      </x:c>
      <x:c r="F25" s="22" t="n">
        <x:v>-12.3</x:v>
      </x:c>
      <x:c r="G25" s="22" t="n">
        <x:v>-46.5</x:v>
      </x:c>
      <x:c r="H25" s="13" t="n">
        <x:v>5</x:v>
      </x:c>
      <x:c r="I25" s="13" t="n">
        <x:v>7</x:v>
      </x:c>
    </x:row>
    <x:row r="26">
      <x:c r="A26" s="13" t="str">
        <x:v>ID</x:v>
      </x:c>
      <x:c r="B26" s="14" t="n">
        <x:v>5</x:v>
      </x:c>
      <x:c r="C26" s="21" t="n">
        <x:v>62.8</x:v>
      </x:c>
      <x:c r="D26" s="21" t="n">
        <x:v>65.7</x:v>
      </x:c>
      <x:c r="E26" s="21" t="n">
        <x:v>66.9</x:v>
      </x:c>
      <x:c r="F26" s="22" t="n">
        <x:v>-2.8</x:v>
      </x:c>
      <x:c r="G26" s="22" t="n">
        <x:v>-4</x:v>
      </x:c>
      <x:c r="H26" s="13" t="n">
        <x:v>5</x:v>
      </x:c>
      <x:c r="I26" s="13" t="n">
        <x:v>7</x:v>
      </x:c>
    </x:row>
    <x:row r="27">
      <x:c r="A27" s="13" t="str">
        <x:v>MD</x:v>
      </x:c>
      <x:c r="B27" s="14" t="n">
        <x:v>5</x:v>
      </x:c>
      <x:c r="C27" s="21" t="n">
        <x:v>39.3</x:v>
      </x:c>
      <x:c r="D27" s="21" t="n">
        <x:v>52</x:v>
      </x:c>
      <x:c r="E27" s="21" t="n">
        <x:v>35.5</x:v>
      </x:c>
      <x:c r="F27" s="22" t="n">
        <x:v>-12.7</x:v>
      </x:c>
      <x:c r="G27" s="22" t="n">
        <x:v>3.9</x:v>
      </x:c>
      <x:c r="H27" s="13" t="n">
        <x:v>5</x:v>
      </x:c>
      <x:c r="I27" s="13" t="n">
        <x:v>7</x:v>
      </x:c>
    </x:row>
    <x:row r="28">
      <x:c r="A28" s="13" t="str">
        <x:v>NY</x:v>
      </x:c>
      <x:c r="B28" s="14" t="n">
        <x:v>4</x:v>
      </x:c>
      <x:c r="C28" s="21" t="n">
        <x:v>58.9</x:v>
      </x:c>
      <x:c r="D28" s="21" t="n">
        <x:v>23.3</x:v>
      </x:c>
      <x:c r="E28" s="21" t="n">
        <x:v>58.5</x:v>
      </x:c>
      <x:c r="F28" s="22" t="n">
        <x:v>35.6</x:v>
      </x:c>
      <x:c r="G28" s="22" t="n">
        <x:v>0.4</x:v>
      </x:c>
      <x:c r="H28" s="13" t="n">
        <x:v>5</x:v>
      </x:c>
      <x:c r="I28" s="13" t="n">
        <x:v>7</x:v>
      </x:c>
    </x:row>
    <x:row r="29">
      <x:c r="A29" s="13" t="str">
        <x:v>UT</x:v>
      </x:c>
      <x:c r="B29" s="14" t="n">
        <x:v>4</x:v>
      </x:c>
      <x:c r="C29" s="21" t="n">
        <x:v>65.8</x:v>
      </x:c>
      <x:c r="D29" s="21" t="n">
        <x:v>69.7</x:v>
      </x:c>
      <x:c r="E29" s="21" t="str">
        <x:v>—</x:v>
      </x:c>
      <x:c r="F29" s="22" t="n">
        <x:v>-3.9</x:v>
      </x:c>
      <x:c r="G29" s="22" t="str">
        <x:v>—</x:v>
      </x:c>
      <x:c r="H29" s="13" t="n">
        <x:v>5</x:v>
      </x:c>
      <x:c r="I29" s="13" t="n">
        <x:v>7</x:v>
      </x:c>
    </x:row>
    <x:row r="30">
      <x:c r="A30" s="13" t="str">
        <x:v>KS</x:v>
      </x:c>
      <x:c r="B30" s="14" t="n">
        <x:v>3</x:v>
      </x:c>
      <x:c r="C30" s="21" t="n">
        <x:v>39.7</x:v>
      </x:c>
      <x:c r="D30" s="21" t="n">
        <x:v>36.7</x:v>
      </x:c>
      <x:c r="E30" s="21" t="n">
        <x:v>76</x:v>
      </x:c>
      <x:c r="F30" s="22" t="n">
        <x:v>3</x:v>
      </x:c>
      <x:c r="G30" s="22" t="n">
        <x:v>-36.3</x:v>
      </x:c>
      <x:c r="H30" s="13" t="n">
        <x:v>5</x:v>
      </x:c>
      <x:c r="I30" s="13" t="n">
        <x:v>7</x:v>
      </x:c>
    </x:row>
    <x:row r="31">
      <x:c r="A31" s="13" t="str">
        <x:v>NC</x:v>
      </x:c>
      <x:c r="B31" s="14" t="n">
        <x:v>3</x:v>
      </x:c>
      <x:c r="C31" s="21" t="n">
        <x:v>51.7</x:v>
      </x:c>
      <x:c r="D31" s="21" t="n">
        <x:v>57.5</x:v>
      </x:c>
      <x:c r="E31" s="21" t="n">
        <x:v>61.7</x:v>
      </x:c>
      <x:c r="F31" s="22" t="n">
        <x:v>-5.8</x:v>
      </x:c>
      <x:c r="G31" s="22" t="n">
        <x:v>-10</x:v>
      </x:c>
      <x:c r="H31" s="13" t="n">
        <x:v>5</x:v>
      </x:c>
      <x:c r="I31" s="13" t="n">
        <x:v>7</x:v>
      </x:c>
    </x:row>
    <x:row r="32">
      <x:c r="A32" s="13" t="str">
        <x:v>NE</x:v>
      </x:c>
      <x:c r="B32" s="14" t="n">
        <x:v>3</x:v>
      </x:c>
      <x:c r="C32" s="21" t="n">
        <x:v>45.3</x:v>
      </x:c>
      <x:c r="D32" s="21" t="n">
        <x:v>44.5</x:v>
      </x:c>
      <x:c r="E32" s="21" t="n">
        <x:v>7.9</x:v>
      </x:c>
      <x:c r="F32" s="22" t="n">
        <x:v>0.9</x:v>
      </x:c>
      <x:c r="G32" s="22" t="n">
        <x:v>37.4</x:v>
      </x:c>
      <x:c r="H32" s="13" t="n">
        <x:v>5</x:v>
      </x:c>
      <x:c r="I32" s="13" t="n">
        <x:v>7</x:v>
      </x:c>
    </x:row>
    <x:row r="33">
      <x:c r="A33" s="13" t="str">
        <x:v>NM</x:v>
      </x:c>
      <x:c r="B33" s="14" t="n">
        <x:v>3</x:v>
      </x:c>
      <x:c r="C33" s="21" t="n">
        <x:v>89.7</x:v>
      </x:c>
      <x:c r="D33" s="21" t="n">
        <x:v>65.7</x:v>
      </x:c>
      <x:c r="E33" s="21" t="n">
        <x:v>64.2</x:v>
      </x:c>
      <x:c r="F33" s="22" t="n">
        <x:v>24</x:v>
      </x:c>
      <x:c r="G33" s="22" t="n">
        <x:v>25.5</x:v>
      </x:c>
      <x:c r="H33" s="13" t="n">
        <x:v>5</x:v>
      </x:c>
      <x:c r="I33" s="13" t="n">
        <x:v>7</x:v>
      </x:c>
    </x:row>
    <x:row r="34">
      <x:c r="A34" s="13" t="str">
        <x:v>OR</x:v>
      </x:c>
      <x:c r="B34" s="14" t="n">
        <x:v>3</x:v>
      </x:c>
      <x:c r="C34" s="21" t="n">
        <x:v>57</x:v>
      </x:c>
      <x:c r="D34" s="21" t="n">
        <x:v>58.8</x:v>
      </x:c>
      <x:c r="E34" s="21" t="n">
        <x:v>63.3</x:v>
      </x:c>
      <x:c r="F34" s="22" t="n">
        <x:v>-1.8</x:v>
      </x:c>
      <x:c r="G34" s="22" t="n">
        <x:v>-6.3</x:v>
      </x:c>
      <x:c r="H34" s="13" t="n">
        <x:v>5</x:v>
      </x:c>
      <x:c r="I34" s="13" t="n">
        <x:v>7</x:v>
      </x:c>
    </x:row>
    <x:row r="35">
      <x:c r="A35" s="13" t="str">
        <x:v>PR</x:v>
      </x:c>
      <x:c r="B35" s="14" t="n">
        <x:v>3</x:v>
      </x:c>
      <x:c r="C35" s="21" t="n">
        <x:v>83</x:v>
      </x:c>
      <x:c r="D35" s="21" t="n">
        <x:v>108.8</x:v>
      </x:c>
      <x:c r="E35" s="21" t="n">
        <x:v>91</x:v>
      </x:c>
      <x:c r="F35" s="22" t="n">
        <x:v>-25.8</x:v>
      </x:c>
      <x:c r="G35" s="22" t="n">
        <x:v>-8</x:v>
      </x:c>
      <x:c r="H35" s="13" t="n">
        <x:v>5</x:v>
      </x:c>
      <x:c r="I35" s="13" t="n">
        <x:v>7</x:v>
      </x:c>
    </x:row>
    <x:row r="36">
      <x:c r="A36" s="13" t="str">
        <x:v>CT</x:v>
      </x:c>
      <x:c r="B36" s="14" t="n">
        <x:v>2</x:v>
      </x:c>
      <x:c r="C36" s="21" t="n">
        <x:v>129.4</x:v>
      </x:c>
      <x:c r="D36" s="21" t="n">
        <x:v>76.6</x:v>
      </x:c>
      <x:c r="E36" s="21" t="n">
        <x:v>44</x:v>
      </x:c>
      <x:c r="F36" s="22" t="n">
        <x:v>52.8</x:v>
      </x:c>
      <x:c r="G36" s="22" t="n">
        <x:v>85.4</x:v>
      </x:c>
      <x:c r="H36" s="13" t="n">
        <x:v>5</x:v>
      </x:c>
      <x:c r="I36" s="13" t="n">
        <x:v>7</x:v>
      </x:c>
    </x:row>
    <x:row r="37">
      <x:c r="A37" s="13" t="str">
        <x:v>MN</x:v>
      </x:c>
      <x:c r="B37" s="14" t="n">
        <x:v>2</x:v>
      </x:c>
      <x:c r="C37" s="21" t="n">
        <x:v>73.2</x:v>
      </x:c>
      <x:c r="D37" s="21" t="n">
        <x:v>91</x:v>
      </x:c>
      <x:c r="E37" s="21" t="n">
        <x:v>66.1</x:v>
      </x:c>
      <x:c r="F37" s="22" t="n">
        <x:v>-17.8</x:v>
      </x:c>
      <x:c r="G37" s="22" t="n">
        <x:v>7.1</x:v>
      </x:c>
      <x:c r="H37" s="13" t="n">
        <x:v>5</x:v>
      </x:c>
      <x:c r="I37" s="13" t="n">
        <x:v>7</x:v>
      </x:c>
    </x:row>
    <x:row r="38">
      <x:c r="A38" s="13" t="str">
        <x:v>ND</x:v>
      </x:c>
      <x:c r="B38" s="14" t="n">
        <x:v>2</x:v>
      </x:c>
      <x:c r="C38" s="21" t="n">
        <x:v>61.9</x:v>
      </x:c>
      <x:c r="D38" s="21" t="n">
        <x:v>60.2</x:v>
      </x:c>
      <x:c r="E38" s="21" t="n">
        <x:v>52.4</x:v>
      </x:c>
      <x:c r="F38" s="22" t="n">
        <x:v>1.7</x:v>
      </x:c>
      <x:c r="G38" s="22" t="n">
        <x:v>9.5</x:v>
      </x:c>
      <x:c r="H38" s="13" t="n">
        <x:v>5</x:v>
      </x:c>
      <x:c r="I38" s="13" t="n">
        <x:v>7</x:v>
      </x:c>
    </x:row>
    <x:row r="39">
      <x:c r="A39" s="13" t="str">
        <x:v>WV</x:v>
      </x:c>
      <x:c r="B39" s="14" t="n">
        <x:v>2</x:v>
      </x:c>
      <x:c r="C39" s="21" t="n">
        <x:v>19.8</x:v>
      </x:c>
      <x:c r="D39" s="21" t="n">
        <x:v>49.2</x:v>
      </x:c>
      <x:c r="E39" s="21" t="str">
        <x:v>—</x:v>
      </x:c>
      <x:c r="F39" s="22" t="n">
        <x:v>-29.4</x:v>
      </x:c>
      <x:c r="G39" s="22" t="str">
        <x:v>—</x:v>
      </x:c>
      <x:c r="H39" s="13" t="n">
        <x:v>5</x:v>
      </x:c>
      <x:c r="I39" s="13" t="n">
        <x:v>7</x:v>
      </x:c>
    </x:row>
    <x:row r="40">
      <x:c r="A40" s="13" t="str">
        <x:v>MA</x:v>
      </x:c>
      <x:c r="B40" s="14" t="n">
        <x:v>1</x:v>
      </x:c>
      <x:c r="C40" s="21" t="n">
        <x:v>83.7</x:v>
      </x:c>
      <x:c r="D40" s="21" t="n">
        <x:v>64.7</x:v>
      </x:c>
      <x:c r="E40" s="21" t="n">
        <x:v>-195.6</x:v>
      </x:c>
      <x:c r="F40" s="22" t="n">
        <x:v>19</x:v>
      </x:c>
      <x:c r="G40" s="22" t="n">
        <x:v>279.4</x:v>
      </x:c>
      <x:c r="H40" s="13" t="n">
        <x:v>5</x:v>
      </x:c>
      <x:c r="I40" s="13" t="n">
        <x:v>7</x:v>
      </x:c>
    </x:row>
    <x:row r="41">
      <x:c r="A41" s="13" t="str">
        <x:v>MT</x:v>
      </x:c>
      <x:c r="B41" s="14" t="n">
        <x:v>1</x:v>
      </x:c>
      <x:c r="C41" s="21" t="n">
        <x:v>78.5</x:v>
      </x:c>
      <x:c r="D41" s="21" t="n">
        <x:v>59.9</x:v>
      </x:c>
      <x:c r="E41" s="21" t="str">
        <x:v>—</x:v>
      </x:c>
      <x:c r="F41" s="22" t="n">
        <x:v>18.6</x:v>
      </x:c>
      <x:c r="G41" s="22" t="str">
        <x:v>—</x:v>
      </x:c>
      <x:c r="H41" s="13" t="n">
        <x:v>5</x:v>
      </x:c>
      <x:c r="I41" s="13" t="n">
        <x:v>7</x:v>
      </x:c>
    </x:row>
    <x:row r="42">
      <x:c r="A42" s="13" t="str">
        <x:v>NJ</x:v>
      </x:c>
      <x:c r="B42" s="14" t="n">
        <x:v>1</x:v>
      </x:c>
      <x:c r="C42" s="21" t="n">
        <x:v>94.4</x:v>
      </x:c>
      <x:c r="D42" s="21" t="n">
        <x:v>82.4</x:v>
      </x:c>
      <x:c r="E42" s="21" t="n">
        <x:v>75.5</x:v>
      </x:c>
      <x:c r="F42" s="22" t="n">
        <x:v>12</x:v>
      </x:c>
      <x:c r="G42" s="22" t="n">
        <x:v>19</x:v>
      </x:c>
      <x:c r="H42" s="13" t="n">
        <x:v>5</x:v>
      </x:c>
      <x:c r="I42" s="13" t="n">
        <x:v>7</x:v>
      </x:c>
    </x:row>
    <x:row r="43">
      <x:c r="A43" s="13" t="str">
        <x:v>SD</x:v>
      </x:c>
      <x:c r="B43" s="14" t="n">
        <x:v>1</x:v>
      </x:c>
      <x:c r="C43" s="21" t="n">
        <x:v>74.9</x:v>
      </x:c>
      <x:c r="D43" s="21" t="str">
        <x:v>—</x:v>
      </x:c>
      <x:c r="E43" s="21" t="n">
        <x:v>49.4</x:v>
      </x:c>
      <x:c r="F43" s="22" t="str">
        <x:v>—</x:v>
      </x:c>
      <x:c r="G43" s="22" t="n">
        <x:v>25.6</x:v>
      </x:c>
      <x:c r="H43" s="13" t="n">
        <x:v>5</x:v>
      </x:c>
      <x:c r="I43" s="13" t="n">
        <x:v>7</x:v>
      </x:c>
    </x:row>
    <x:row r="44">
      <x:c r="A44" s="13" t="str">
        <x:v>WI</x:v>
      </x:c>
      <x:c r="B44" s="14" t="n">
        <x:v>1</x:v>
      </x:c>
      <x:c r="C44" s="21" t="n">
        <x:v>80.2</x:v>
      </x:c>
      <x:c r="D44" s="21" t="n">
        <x:v>79.4</x:v>
      </x:c>
      <x:c r="E44" s="21" t="n">
        <x:v>48.6</x:v>
      </x:c>
      <x:c r="F44" s="22" t="n">
        <x:v>0.8</x:v>
      </x:c>
      <x:c r="G44" s="22" t="n">
        <x:v>31.5</x:v>
      </x:c>
      <x:c r="H44" s="13" t="n">
        <x:v>5</x:v>
      </x:c>
      <x:c r="I44" s="13" t="n">
        <x:v>7</x:v>
      </x:c>
    </x:row>
    <x:row r="45">
      <x:c r="A45" s="13" t="str">
        <x:v>WY</x:v>
      </x:c>
      <x:c r="B45" s="14" t="n">
        <x:v>1</x:v>
      </x:c>
      <x:c r="C45" s="21" t="n">
        <x:v>82.6</x:v>
      </x:c>
      <x:c r="D45" s="21" t="n">
        <x:v>92.8</x:v>
      </x:c>
      <x:c r="E45" s="21" t="str">
        <x:v>—</x:v>
      </x:c>
      <x:c r="F45" s="22" t="n">
        <x:v>-10.2</x:v>
      </x:c>
      <x:c r="G45" s="22" t="str">
        <x:v>—</x:v>
      </x:c>
      <x:c r="H45" s="13" t="n">
        <x:v>5</x:v>
      </x:c>
      <x:c r="I45" s="13" t="n">
        <x:v>7</x:v>
      </x:c>
    </x:row>
    <x:row r="46">
      <x:c r="A46" s="13" t="str">
        <x:v>AK</x:v>
      </x:c>
      <x:c r="B46" s="14" t="n">
        <x:v>0</x:v>
      </x:c>
      <x:c r="C46" s="21" t="str">
        <x:v>—</x:v>
      </x:c>
      <x:c r="D46" s="21" t="str">
        <x:v>—</x:v>
      </x:c>
      <x:c r="E46" s="21" t="n">
        <x:v>62.1</x:v>
      </x:c>
      <x:c r="F46" s="22" t="str">
        <x:v>—</x:v>
      </x:c>
      <x:c r="G46" s="22" t="str">
        <x:v>—</x:v>
      </x:c>
      <x:c r="H46" s="13" t="n">
        <x:v>5</x:v>
      </x:c>
      <x:c r="I46" s="13" t="n">
        <x:v>7</x:v>
      </x:c>
    </x:row>
    <x:row r="47">
      <x:c r="A47" s="13" t="str">
        <x:v>DC</x:v>
      </x:c>
      <x:c r="B47" s="14" t="n">
        <x:v>0</x:v>
      </x:c>
      <x:c r="C47" s="21" t="str">
        <x:v>—</x:v>
      </x:c>
      <x:c r="D47" s="21" t="n">
        <x:v>70.3</x:v>
      </x:c>
      <x:c r="E47" s="21" t="str">
        <x:v>—</x:v>
      </x:c>
      <x:c r="F47" s="22" t="str">
        <x:v>—</x:v>
      </x:c>
      <x:c r="G47" s="22" t="str">
        <x:v>—</x:v>
      </x:c>
      <x:c r="H47" s="13" t="n">
        <x:v>5</x:v>
      </x:c>
      <x:c r="I47" s="13" t="n">
        <x:v>7</x:v>
      </x:c>
    </x:row>
    <x:row r="48">
      <x:c r="A48" s="13" t="str">
        <x:v>DE</x:v>
      </x:c>
      <x:c r="B48" s="14" t="n">
        <x:v>0</x:v>
      </x:c>
      <x:c r="C48" s="21" t="str">
        <x:v>—</x:v>
      </x:c>
      <x:c r="D48" s="21" t="str">
        <x:v>—</x:v>
      </x:c>
      <x:c r="E48" s="21" t="n">
        <x:v>94</x:v>
      </x:c>
      <x:c r="F48" s="22" t="str">
        <x:v>—</x:v>
      </x:c>
      <x:c r="G48" s="22" t="str">
        <x:v>—</x:v>
      </x:c>
      <x:c r="H48" s="13" t="n">
        <x:v>5</x:v>
      </x:c>
      <x:c r="I48" s="13" t="n">
        <x:v>7</x:v>
      </x:c>
    </x:row>
    <x:row r="49">
      <x:c r="A49" s="13" t="str">
        <x:v>ME</x:v>
      </x:c>
      <x:c r="B49" s="14" t="n">
        <x:v>0</x:v>
      </x:c>
      <x:c r="C49" s="21" t="str">
        <x:v>—</x:v>
      </x:c>
      <x:c r="D49" s="21" t="n">
        <x:v>71</x:v>
      </x:c>
      <x:c r="E49" s="21" t="str">
        <x:v>—</x:v>
      </x:c>
      <x:c r="F49" s="22" t="str">
        <x:v>—</x:v>
      </x:c>
      <x:c r="G49" s="22" t="str">
        <x:v>—</x:v>
      </x:c>
      <x:c r="H49" s="13" t="n">
        <x:v>5</x:v>
      </x:c>
      <x:c r="I49" s="13" t="n">
        <x:v>7</x:v>
      </x:c>
    </x:row>
    <x:row r="50">
      <x:c r="A50" s="13" t="str">
        <x:v>NV</x:v>
      </x:c>
      <x:c r="B50" s="14" t="n">
        <x:v>0</x:v>
      </x:c>
      <x:c r="C50" s="21" t="str">
        <x:v>—</x:v>
      </x:c>
      <x:c r="D50" s="21" t="n">
        <x:v>68.4</x:v>
      </x:c>
      <x:c r="E50" s="21" t="str">
        <x:v>—</x:v>
      </x:c>
      <x:c r="F50" s="22" t="str">
        <x:v>—</x:v>
      </x:c>
      <x:c r="G50" s="22" t="str">
        <x:v>—</x:v>
      </x:c>
      <x:c r="H50" s="13" t="n">
        <x:v>5</x:v>
      </x:c>
      <x:c r="I50" s="13" t="n">
        <x:v>7</x:v>
      </x:c>
    </x:row>
    <x:row r="51">
      <x:c r="A51" s="13" t="str">
        <x:v>RI</x:v>
      </x:c>
      <x:c r="B51" s="14" t="n">
        <x:v>0</x:v>
      </x:c>
      <x:c r="C51" s="21" t="str">
        <x:v>—</x:v>
      </x:c>
      <x:c r="D51" s="21" t="n">
        <x:v>67.1</x:v>
      </x:c>
      <x:c r="E51" s="21" t="n">
        <x:v>79.7</x:v>
      </x:c>
      <x:c r="F51" s="22" t="str">
        <x:v>—</x:v>
      </x:c>
      <x:c r="G51" s="22" t="str">
        <x:v>—</x:v>
      </x:c>
      <x:c r="H51" s="13" t="n">
        <x:v>5</x:v>
      </x:c>
      <x:c r="I51" s="13" t="n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44ce7c669bff4fe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22" hidden="0" customWidth="1"/>
    <x:col min="5" max="5" width="20" hidden="0" customWidth="1"/>
    <x:col min="6" max="6" width="22" hidden="0" customWidth="1"/>
    <x:col min="7" max="7" width="19" hidden="0" customWidth="1"/>
    <x:col min="8" max="8" width="23" hidden="0" customWidth="1"/>
    <x:col min="9" max="9" width="26" hidden="0" customWidth="1"/>
    <x:col min="10" max="10" width="16" hidden="0" customWidth="1"/>
    <x:col min="11" max="11" width="14" hidden="0" customWidth="1"/>
    <x:col min="12" max="12" width="22" hidden="0" customWidth="1"/>
    <x:col min="13" max="13" width="23" hidden="0" customWidth="1"/>
    <x:col min="14" max="14" width="23" hidden="0" customWidth="1"/>
    <x:col min="15" max="15" width="15" hidden="0" customWidth="1"/>
    <x:col min="16" max="16" width="20" hidden="0" customWidth="1"/>
    <x:col min="17" max="17" width="12" hidden="0" customWidth="1"/>
    <x:col min="18" max="18" width="12" hidden="0" customWidth="1"/>
  </x:cols>
  <x:sheetData>
    <x:row r="1" ht="38" customHeight="1">
      <x:c r="A1" s="12" t="str">
        <x:v>Disposition month</x:v>
      </x:c>
      <x:c r="B1" s="12" t="str">
        <x:v>Claim expenses %</x:v>
      </x:c>
      <x:c r="C1" s="12" t="str">
        <x:v>Holding costs %</x:v>
      </x:c>
      <x:c r="D1" s="12" t="str">
        <x:v>Loss on collateral %</x:v>
      </x:c>
      <x:c r="E1" s="12" t="str">
        <x:v>Sales expenses %</x:v>
      </x:c>
      <x:c r="F1" s="12" t="str">
        <x:v>Program discounts %</x:v>
      </x:c>
      <x:c r="G1" s="12" t="str">
        <x:v>Net loss rate %</x:v>
      </x:c>
      <x:c r="H1" s="12" t="str">
        <x:v>Average dollar loss ($)</x:v>
      </x:c>
      <x:c r="I1" s="12" t="str">
        <x:v>Average unpaid balance ($)</x:v>
      </x:c>
      <x:c r="J1" s="12" t="str">
        <x:v>Dispositions</x:v>
      </x:c>
      <x:c r="K1" s="12" t="str">
        <x:v>Discounts</x:v>
      </x:c>
      <x:c r="L1" s="12" t="str">
        <x:v>Delinquency (months)</x:v>
      </x:c>
      <x:c r="M1" s="12" t="str">
        <x:v>Foreclosure (months)</x:v>
      </x:c>
      <x:c r="N1" s="12" t="str">
        <x:v>Deed transfer (months)</x:v>
      </x:c>
      <x:c r="O1" s="12" t="str">
        <x:v>REO (months)</x:v>
      </x:c>
      <x:c r="P1" s="12" t="str">
        <x:v>All stages (months)</x:v>
      </x:c>
      <x:c r="Q1" s="12" t="str">
        <x:v>HUD table</x:v>
      </x:c>
      <x:c r="R1" s="12" t="str">
        <x:v>PDF page</x:v>
      </x:c>
    </x:row>
    <x:row r="2">
      <x:c r="A2" s="13" t="str">
        <x:v>2026-07</x:v>
      </x:c>
      <x:c r="B2" s="20" t="n">
        <x:v>19.78</x:v>
      </x:c>
      <x:c r="C2" s="20" t="n">
        <x:v>6.26</x:v>
      </x:c>
      <x:c r="D2" s="20" t="n">
        <x:v>14.23</x:v>
      </x:c>
      <x:c r="E2" s="20" t="n">
        <x:v>5.14</x:v>
      </x:c>
      <x:c r="F2" s="20" t="n">
        <x:v>0.06</x:v>
      </x:c>
      <x:c r="G2" s="20" t="n">
        <x:v>49.48</x:v>
      </x:c>
      <x:c r="H2" s="23" t="n">
        <x:v>101498</x:v>
      </x:c>
      <x:c r="I2" s="23" t="n">
        <x:v>205141</x:v>
      </x:c>
      <x:c r="J2" s="14" t="n">
        <x:v>392</x:v>
      </x:c>
      <x:c r="K2" s="14" t="n">
        <x:v>1</x:v>
      </x:c>
      <x:c r="L2" s="24" t="n">
        <x:v>10.2</x:v>
      </x:c>
      <x:c r="M2" s="24" t="n">
        <x:v>10.9</x:v>
      </x:c>
      <x:c r="N2" s="24" t="n">
        <x:v>6.1</x:v>
      </x:c>
      <x:c r="O2" s="24" t="n">
        <x:v>4.8</x:v>
      </x:c>
      <x:c r="P2" s="24" t="n">
        <x:v>31.8</x:v>
      </x:c>
      <x:c r="Q2" s="13" t="n">
        <x:v>6</x:v>
      </x:c>
      <x:c r="R2" s="13" t="n">
        <x:v>8</x:v>
      </x:c>
    </x:row>
    <x:row r="3">
      <x:c r="A3" s="13" t="str">
        <x:v>2026-06</x:v>
      </x:c>
      <x:c r="B3" s="20" t="n">
        <x:v>19.28</x:v>
      </x:c>
      <x:c r="C3" s="20" t="n">
        <x:v>6.74</x:v>
      </x:c>
      <x:c r="D3" s="20" t="n">
        <x:v>13.58</x:v>
      </x:c>
      <x:c r="E3" s="20" t="n">
        <x:v>4.97</x:v>
      </x:c>
      <x:c r="F3" s="20" t="n">
        <x:v>0.49</x:v>
      </x:c>
      <x:c r="G3" s="20" t="n">
        <x:v>48.62</x:v>
      </x:c>
      <x:c r="H3" s="23" t="n">
        <x:v>99442</x:v>
      </x:c>
      <x:c r="I3" s="23" t="n">
        <x:v>204536</x:v>
      </x:c>
      <x:c r="J3" s="14" t="n">
        <x:v>329</x:v>
      </x:c>
      <x:c r="K3" s="14" t="n">
        <x:v>3</x:v>
      </x:c>
      <x:c r="L3" s="24" t="n">
        <x:v>10</x:v>
      </x:c>
      <x:c r="M3" s="24" t="n">
        <x:v>10.7</x:v>
      </x:c>
      <x:c r="N3" s="24" t="n">
        <x:v>5.6</x:v>
      </x:c>
      <x:c r="O3" s="24" t="n">
        <x:v>4.6</x:v>
      </x:c>
      <x:c r="P3" s="24" t="n">
        <x:v>30.9</x:v>
      </x:c>
      <x:c r="Q3" s="13" t="n">
        <x:v>6</x:v>
      </x:c>
      <x:c r="R3" s="13" t="n">
        <x:v>8</x:v>
      </x:c>
    </x:row>
    <x:row r="4">
      <x:c r="A4" s="13" t="str">
        <x:v>2026-05</x:v>
      </x:c>
      <x:c r="B4" s="20" t="n">
        <x:v>20.38</x:v>
      </x:c>
      <x:c r="C4" s="20" t="n">
        <x:v>6.91</x:v>
      </x:c>
      <x:c r="D4" s="20" t="n">
        <x:v>13.98</x:v>
      </x:c>
      <x:c r="E4" s="20" t="n">
        <x:v>5.07</x:v>
      </x:c>
      <x:c r="F4" s="20" t="n">
        <x:v>0</x:v>
      </x:c>
      <x:c r="G4" s="20" t="n">
        <x:v>49.23</x:v>
      </x:c>
      <x:c r="H4" s="23" t="n">
        <x:v>102104</x:v>
      </x:c>
      <x:c r="I4" s="23" t="n">
        <x:v>207416</x:v>
      </x:c>
      <x:c r="J4" s="14" t="n">
        <x:v>317</x:v>
      </x:c>
      <x:c r="K4" s="14" t="n">
        <x:v>0</x:v>
      </x:c>
      <x:c r="L4" s="24" t="n">
        <x:v>11.5</x:v>
      </x:c>
      <x:c r="M4" s="24" t="n">
        <x:v>10.6</x:v>
      </x:c>
      <x:c r="N4" s="24" t="n">
        <x:v>6</x:v>
      </x:c>
      <x:c r="O4" s="24" t="n">
        <x:v>5</x:v>
      </x:c>
      <x:c r="P4" s="24" t="n">
        <x:v>33.2</x:v>
      </x:c>
      <x:c r="Q4" s="13" t="n">
        <x:v>6</x:v>
      </x:c>
      <x:c r="R4" s="13" t="n">
        <x:v>8</x:v>
      </x:c>
    </x:row>
    <x:row r="5">
      <x:c r="A5" s="13" t="str">
        <x:v>2026-04</x:v>
      </x:c>
      <x:c r="B5" s="20" t="n">
        <x:v>20.08</x:v>
      </x:c>
      <x:c r="C5" s="20" t="n">
        <x:v>7.21</x:v>
      </x:c>
      <x:c r="D5" s="20" t="n">
        <x:v>16.6</x:v>
      </x:c>
      <x:c r="E5" s="20" t="n">
        <x:v>4.8</x:v>
      </x:c>
      <x:c r="F5" s="20" t="n">
        <x:v>0</x:v>
      </x:c>
      <x:c r="G5" s="20" t="n">
        <x:v>51.97</x:v>
      </x:c>
      <x:c r="H5" s="23" t="n">
        <x:v>110959</x:v>
      </x:c>
      <x:c r="I5" s="23" t="n">
        <x:v>213522</x:v>
      </x:c>
      <x:c r="J5" s="14" t="n">
        <x:v>407</x:v>
      </x:c>
      <x:c r="K5" s="14" t="n">
        <x:v>0</x:v>
      </x:c>
      <x:c r="L5" s="24" t="n">
        <x:v>10.6</x:v>
      </x:c>
      <x:c r="M5" s="24" t="n">
        <x:v>10.2</x:v>
      </x:c>
      <x:c r="N5" s="24" t="n">
        <x:v>6.5</x:v>
      </x:c>
      <x:c r="O5" s="24" t="n">
        <x:v>5.3</x:v>
      </x:c>
      <x:c r="P5" s="24" t="n">
        <x:v>32.4</x:v>
      </x:c>
      <x:c r="Q5" s="13" t="n">
        <x:v>6</x:v>
      </x:c>
      <x:c r="R5" s="13" t="n">
        <x:v>8</x:v>
      </x:c>
    </x:row>
    <x:row r="6">
      <x:c r="A6" s="13" t="str">
        <x:v>2026-03</x:v>
      </x:c>
      <x:c r="B6" s="20" t="n">
        <x:v>19.17</x:v>
      </x:c>
      <x:c r="C6" s="20" t="n">
        <x:v>7.32</x:v>
      </x:c>
      <x:c r="D6" s="20" t="n">
        <x:v>16.13</x:v>
      </x:c>
      <x:c r="E6" s="20" t="n">
        <x:v>4.75</x:v>
      </x:c>
      <x:c r="F6" s="20" t="n">
        <x:v>0.13</x:v>
      </x:c>
      <x:c r="G6" s="20" t="n">
        <x:v>50.66</x:v>
      </x:c>
      <x:c r="H6" s="23" t="n">
        <x:v>103787</x:v>
      </x:c>
      <x:c r="I6" s="23" t="n">
        <x:v>204851</x:v>
      </x:c>
      <x:c r="J6" s="14" t="n">
        <x:v>391</x:v>
      </x:c>
      <x:c r="K6" s="14" t="n">
        <x:v>1</x:v>
      </x:c>
      <x:c r="L6" s="24" t="n">
        <x:v>10.8</x:v>
      </x:c>
      <x:c r="M6" s="24" t="n">
        <x:v>9.7</x:v>
      </x:c>
      <x:c r="N6" s="24" t="n">
        <x:v>6.1</x:v>
      </x:c>
      <x:c r="O6" s="24" t="n">
        <x:v>5.3</x:v>
      </x:c>
      <x:c r="P6" s="24" t="n">
        <x:v>31.8</x:v>
      </x:c>
      <x:c r="Q6" s="13" t="n">
        <x:v>6</x:v>
      </x:c>
      <x:c r="R6" s="13" t="n">
        <x:v>8</x:v>
      </x:c>
    </x:row>
    <x:row r="7">
      <x:c r="A7" s="13" t="str">
        <x:v>2026-02</x:v>
      </x:c>
      <x:c r="B7" s="20" t="n">
        <x:v>20.66</x:v>
      </x:c>
      <x:c r="C7" s="20" t="n">
        <x:v>7.28</x:v>
      </x:c>
      <x:c r="D7" s="20" t="n">
        <x:v>16.73</x:v>
      </x:c>
      <x:c r="E7" s="20" t="n">
        <x:v>4.77</x:v>
      </x:c>
      <x:c r="F7" s="20" t="n">
        <x:v>0.17</x:v>
      </x:c>
      <x:c r="G7" s="20" t="n">
        <x:v>51.23</x:v>
      </x:c>
      <x:c r="H7" s="23" t="n">
        <x:v>106472</x:v>
      </x:c>
      <x:c r="I7" s="23" t="n">
        <x:v>207840</x:v>
      </x:c>
      <x:c r="J7" s="14" t="n">
        <x:v>408</x:v>
      </x:c>
      <x:c r="K7" s="14" t="n">
        <x:v>1</x:v>
      </x:c>
      <x:c r="L7" s="24" t="n">
        <x:v>11.2</x:v>
      </x:c>
      <x:c r="M7" s="24" t="n">
        <x:v>11.5</x:v>
      </x:c>
      <x:c r="N7" s="24" t="n">
        <x:v>5.9</x:v>
      </x:c>
      <x:c r="O7" s="24" t="n">
        <x:v>5.7</x:v>
      </x:c>
      <x:c r="P7" s="24" t="n">
        <x:v>34.3</x:v>
      </x:c>
      <x:c r="Q7" s="13" t="n">
        <x:v>6</x:v>
      </x:c>
      <x:c r="R7" s="13" t="n">
        <x:v>8</x:v>
      </x:c>
    </x:row>
    <x:row r="8">
      <x:c r="A8" s="13" t="str">
        <x:v>2026-01</x:v>
      </x:c>
      <x:c r="B8" s="20" t="n">
        <x:v>19.62</x:v>
      </x:c>
      <x:c r="C8" s="20" t="n">
        <x:v>7.12</x:v>
      </x:c>
      <x:c r="D8" s="20" t="n">
        <x:v>16.33</x:v>
      </x:c>
      <x:c r="E8" s="20" t="n">
        <x:v>4.98</x:v>
      </x:c>
      <x:c r="F8" s="20" t="n">
        <x:v>0.21</x:v>
      </x:c>
      <x:c r="G8" s="20" t="n">
        <x:v>49.85</x:v>
      </x:c>
      <x:c r="H8" s="23" t="n">
        <x:v>96438</x:v>
      </x:c>
      <x:c r="I8" s="23" t="n">
        <x:v>193445</x:v>
      </x:c>
      <x:c r="J8" s="14" t="n">
        <x:v>330</x:v>
      </x:c>
      <x:c r="K8" s="14" t="n">
        <x:v>2</x:v>
      </x:c>
      <x:c r="L8" s="24" t="n">
        <x:v>9.6</x:v>
      </x:c>
      <x:c r="M8" s="24" t="n">
        <x:v>10.4</x:v>
      </x:c>
      <x:c r="N8" s="24" t="n">
        <x:v>6.4</x:v>
      </x:c>
      <x:c r="O8" s="24" t="n">
        <x:v>5.6</x:v>
      </x:c>
      <x:c r="P8" s="24" t="n">
        <x:v>32</x:v>
      </x:c>
      <x:c r="Q8" s="13" t="n">
        <x:v>6</x:v>
      </x:c>
      <x:c r="R8" s="13" t="n">
        <x:v>8</x:v>
      </x:c>
    </x:row>
    <x:row r="9">
      <x:c r="A9" s="13" t="str">
        <x:v>2025-12</x:v>
      </x:c>
      <x:c r="B9" s="20" t="n">
        <x:v>21.12</x:v>
      </x:c>
      <x:c r="C9" s="20" t="n">
        <x:v>6.54</x:v>
      </x:c>
      <x:c r="D9" s="20" t="n">
        <x:v>12.46</x:v>
      </x:c>
      <x:c r="E9" s="20" t="n">
        <x:v>5.56</x:v>
      </x:c>
      <x:c r="F9" s="20" t="n">
        <x:v>0.38</x:v>
      </x:c>
      <x:c r="G9" s="20" t="n">
        <x:v>47.45</x:v>
      </x:c>
      <x:c r="H9" s="23" t="n">
        <x:v>98439</x:v>
      </x:c>
      <x:c r="I9" s="23" t="n">
        <x:v>207459</x:v>
      </x:c>
      <x:c r="J9" s="14" t="n">
        <x:v>356</x:v>
      </x:c>
      <x:c r="K9" s="14" t="n">
        <x:v>2</x:v>
      </x:c>
      <x:c r="L9" s="24" t="n">
        <x:v>10.7</x:v>
      </x:c>
      <x:c r="M9" s="24" t="n">
        <x:v>12.9</x:v>
      </x:c>
      <x:c r="N9" s="24" t="n">
        <x:v>7.6</x:v>
      </x:c>
      <x:c r="O9" s="24" t="n">
        <x:v>5.2</x:v>
      </x:c>
      <x:c r="P9" s="24" t="n">
        <x:v>36.5</x:v>
      </x:c>
      <x:c r="Q9" s="13" t="n">
        <x:v>6</x:v>
      </x:c>
      <x:c r="R9" s="13" t="n">
        <x:v>8</x:v>
      </x:c>
    </x:row>
    <x:row r="10">
      <x:c r="A10" s="13" t="str">
        <x:v>2025-11</x:v>
      </x:c>
      <x:c r="B10" s="20" t="n">
        <x:v>23.37</x:v>
      </x:c>
      <x:c r="C10" s="20" t="n">
        <x:v>7.79</x:v>
      </x:c>
      <x:c r="D10" s="20" t="n">
        <x:v>13.74</x:v>
      </x:c>
      <x:c r="E10" s="20" t="n">
        <x:v>5.21</x:v>
      </x:c>
      <x:c r="F10" s="20" t="n">
        <x:v>0.06</x:v>
      </x:c>
      <x:c r="G10" s="20" t="n">
        <x:v>52.03</x:v>
      </x:c>
      <x:c r="H10" s="23" t="n">
        <x:v>102709</x:v>
      </x:c>
      <x:c r="I10" s="23" t="n">
        <x:v>197408</x:v>
      </x:c>
      <x:c r="J10" s="14" t="n">
        <x:v>281</x:v>
      </x:c>
      <x:c r="K10" s="14" t="n">
        <x:v>1</x:v>
      </x:c>
      <x:c r="L10" s="24" t="n">
        <x:v>9.9</x:v>
      </x:c>
      <x:c r="M10" s="24" t="n">
        <x:v>13.1</x:v>
      </x:c>
      <x:c r="N10" s="24" t="n">
        <x:v>8.7</x:v>
      </x:c>
      <x:c r="O10" s="24" t="n">
        <x:v>5.6</x:v>
      </x:c>
      <x:c r="P10" s="24" t="n">
        <x:v>37.2</x:v>
      </x:c>
      <x:c r="Q10" s="13" t="n">
        <x:v>6</x:v>
      </x:c>
      <x:c r="R10" s="13" t="n">
        <x:v>8</x:v>
      </x:c>
    </x:row>
    <x:row r="11">
      <x:c r="A11" s="13" t="str">
        <x:v>2025-10</x:v>
      </x:c>
      <x:c r="B11" s="20" t="n">
        <x:v>21.54</x:v>
      </x:c>
      <x:c r="C11" s="20" t="n">
        <x:v>8.61</x:v>
      </x:c>
      <x:c r="D11" s="20" t="n">
        <x:v>11.88</x:v>
      </x:c>
      <x:c r="E11" s="20" t="n">
        <x:v>5.12</x:v>
      </x:c>
      <x:c r="F11" s="20" t="n">
        <x:v>0.35</x:v>
      </x:c>
      <x:c r="G11" s="20" t="n">
        <x:v>48.61</x:v>
      </x:c>
      <x:c r="H11" s="23" t="n">
        <x:v>94556</x:v>
      </x:c>
      <x:c r="I11" s="23" t="n">
        <x:v>194532</x:v>
      </x:c>
      <x:c r="J11" s="14" t="n">
        <x:v>367</x:v>
      </x:c>
      <x:c r="K11" s="14" t="n">
        <x:v>2</x:v>
      </x:c>
      <x:c r="L11" s="24" t="n">
        <x:v>11.5</x:v>
      </x:c>
      <x:c r="M11" s="24" t="n">
        <x:v>10.7</x:v>
      </x:c>
      <x:c r="N11" s="24" t="n">
        <x:v>6.7</x:v>
      </x:c>
      <x:c r="O11" s="24" t="n">
        <x:v>5.6</x:v>
      </x:c>
      <x:c r="P11" s="24" t="n">
        <x:v>34.3</x:v>
      </x:c>
      <x:c r="Q11" s="13" t="n">
        <x:v>6</x:v>
      </x:c>
      <x:c r="R11" s="13" t="n">
        <x:v>8</x:v>
      </x:c>
    </x:row>
    <x:row r="12">
      <x:c r="A12" s="13" t="str">
        <x:v>2025-09</x:v>
      </x:c>
      <x:c r="B12" s="20" t="n">
        <x:v>23.76</x:v>
      </x:c>
      <x:c r="C12" s="20" t="n">
        <x:v>8.41</x:v>
      </x:c>
      <x:c r="D12" s="20" t="n">
        <x:v>9.19</x:v>
      </x:c>
      <x:c r="E12" s="20" t="n">
        <x:v>4.91</x:v>
      </x:c>
      <x:c r="F12" s="20" t="n">
        <x:v>0</x:v>
      </x:c>
      <x:c r="G12" s="20" t="n">
        <x:v>48.23</x:v>
      </x:c>
      <x:c r="H12" s="23" t="n">
        <x:v>82615</x:v>
      </x:c>
      <x:c r="I12" s="23" t="n">
        <x:v>171289</x:v>
      </x:c>
      <x:c r="J12" s="14" t="n">
        <x:v>317</x:v>
      </x:c>
      <x:c r="K12" s="14" t="n">
        <x:v>0</x:v>
      </x:c>
      <x:c r="L12" s="24" t="n">
        <x:v>12.4</x:v>
      </x:c>
      <x:c r="M12" s="24" t="n">
        <x:v>12.2</x:v>
      </x:c>
      <x:c r="N12" s="24" t="n">
        <x:v>7.9</x:v>
      </x:c>
      <x:c r="O12" s="24" t="n">
        <x:v>5.8</x:v>
      </x:c>
      <x:c r="P12" s="24" t="n">
        <x:v>38.1</x:v>
      </x:c>
      <x:c r="Q12" s="13" t="n">
        <x:v>6</x:v>
      </x:c>
      <x:c r="R12" s="13" t="n">
        <x:v>8</x:v>
      </x:c>
    </x:row>
    <x:row r="13">
      <x:c r="A13" s="13" t="str">
        <x:v>2025-08</x:v>
      </x:c>
      <x:c r="B13" s="20" t="n">
        <x:v>22.42</x:v>
      </x:c>
      <x:c r="C13" s="20" t="n">
        <x:v>7.68</x:v>
      </x:c>
      <x:c r="D13" s="20" t="n">
        <x:v>9.9</x:v>
      </x:c>
      <x:c r="E13" s="20" t="n">
        <x:v>5.28</x:v>
      </x:c>
      <x:c r="F13" s="20" t="n">
        <x:v>0</x:v>
      </x:c>
      <x:c r="G13" s="20" t="n">
        <x:v>46.18</x:v>
      </x:c>
      <x:c r="H13" s="23" t="n">
        <x:v>88696</x:v>
      </x:c>
      <x:c r="I13" s="23" t="n">
        <x:v>192051</x:v>
      </x:c>
      <x:c r="J13" s="14" t="n">
        <x:v>358</x:v>
      </x:c>
      <x:c r="K13" s="14" t="n">
        <x:v>0</x:v>
      </x:c>
      <x:c r="L13" s="24" t="n">
        <x:v>11</x:v>
      </x:c>
      <x:c r="M13" s="24" t="n">
        <x:v>11.5</x:v>
      </x:c>
      <x:c r="N13" s="24" t="n">
        <x:v>9</x:v>
      </x:c>
      <x:c r="O13" s="24" t="n">
        <x:v>6.2</x:v>
      </x:c>
      <x:c r="P13" s="24" t="n">
        <x:v>37.5</x:v>
      </x:c>
      <x:c r="Q13" s="13" t="n">
        <x:v>6</x:v>
      </x:c>
      <x:c r="R13" s="13" t="n">
        <x:v>8</x:v>
      </x:c>
    </x:row>
    <x:row r="14">
      <x:c r="A14" s="13" t="str">
        <x:v>2025-07</x:v>
      </x:c>
      <x:c r="B14" s="20" t="n">
        <x:v>22.88</x:v>
      </x:c>
      <x:c r="C14" s="20" t="n">
        <x:v>7.9</x:v>
      </x:c>
      <x:c r="D14" s="20" t="n">
        <x:v>7.77</x:v>
      </x:c>
      <x:c r="E14" s="20" t="n">
        <x:v>5.32</x:v>
      </x:c>
      <x:c r="F14" s="20" t="n">
        <x:v>0</x:v>
      </x:c>
      <x:c r="G14" s="20" t="n">
        <x:v>45.77</x:v>
      </x:c>
      <x:c r="H14" s="23" t="n">
        <x:v>86086</x:v>
      </x:c>
      <x:c r="I14" s="23" t="n">
        <x:v>188102</x:v>
      </x:c>
      <x:c r="J14" s="14" t="n">
        <x:v>342</x:v>
      </x:c>
      <x:c r="K14" s="14" t="n">
        <x:v>0</x:v>
      </x:c>
      <x:c r="L14" s="24" t="n">
        <x:v>11.3</x:v>
      </x:c>
      <x:c r="M14" s="24" t="n">
        <x:v>12.6</x:v>
      </x:c>
      <x:c r="N14" s="24" t="n">
        <x:v>9.1</x:v>
      </x:c>
      <x:c r="O14" s="24" t="n">
        <x:v>6.2</x:v>
      </x:c>
      <x:c r="P14" s="24" t="n">
        <x:v>39.1</x:v>
      </x:c>
      <x:c r="Q14" s="13" t="n">
        <x:v>6</x:v>
      </x:c>
      <x:c r="R14" s="13" t="n">
        <x:v>8</x:v>
      </x:c>
    </x:row>
  </x:sheetData>
  <x:pageMargins left="0.7" right="0.7" top="0.75" bottom="0.75" header="0.3" footer="0.3"/>
  <x:tableParts count="1">
    <x:tablePart xmlns:r="http://schemas.openxmlformats.org/officeDocument/2006/relationships" r:id="R79ce2f4d084140f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2" hidden="0" customWidth="1"/>
    <x:col min="4" max="4" width="28" hidden="0" customWidth="1"/>
    <x:col min="5" max="5" width="22" hidden="0" customWidth="1"/>
    <x:col min="6" max="6" width="25" hidden="0" customWidth="1"/>
    <x:col min="7" max="7" width="13" hidden="0" customWidth="1"/>
    <x:col min="8" max="8" width="27" hidden="0" customWidth="1"/>
    <x:col min="9" max="9" width="27" hidden="0" customWidth="1"/>
    <x:col min="10" max="10" width="19" hidden="0" customWidth="1"/>
    <x:col min="11" max="11" width="18" hidden="0" customWidth="1"/>
    <x:col min="12" max="12" width="12" hidden="0" customWidth="1"/>
    <x:col min="13" max="13" width="14" hidden="0" customWidth="1"/>
    <x:col min="14" max="14" width="20" hidden="0" customWidth="1"/>
    <x:col min="15" max="15" width="20" hidden="0" customWidth="1"/>
    <x:col min="16" max="16" width="20" hidden="0" customWidth="1"/>
  </x:cols>
  <x:sheetData>
    <x:row r="1" ht="38" customHeight="1">
      <x:c r="A1" s="12" t="str">
        <x:v>Period</x:v>
      </x:c>
      <x:c r="B1" s="12" t="str">
        <x:v>Performance year</x:v>
      </x:c>
      <x:c r="C1" s="12" t="str">
        <x:v>Month</x:v>
      </x:c>
      <x:c r="D1" s="12" t="str">
        <x:v>Beginning serious-delinquency inventory</x:v>
      </x:c>
      <x:c r="E1" s="12" t="str">
        <x:v>Entering serious delinquency</x:v>
      </x:c>
      <x:c r="F1" s="12" t="str">
        <x:v>Cured / leaving serious delinquency</x:v>
      </x:c>
      <x:c r="G1" s="12" t="str">
        <x:v>Claims</x:v>
      </x:c>
      <x:c r="H1" s="12" t="str">
        <x:v>Prepayments from serious delinquency</x:v>
      </x:c>
      <x:c r="I1" s="12" t="str">
        <x:v>Ending serious-delinquency inventory</x:v>
      </x:c>
      <x:c r="J1" s="12" t="str">
        <x:v>Late-posting adjustment</x:v>
      </x:c>
      <x:c r="K1" s="12" t="str">
        <x:v>HUD cure ratio %</x:v>
      </x:c>
      <x:c r="L1" s="12" t="str">
        <x:v>HUD table</x:v>
      </x:c>
      <x:c r="M1" s="12" t="str">
        <x:v>Report page</x:v>
      </x:c>
      <x:c r="N1" s="12" t="str">
        <x:v>Flow identity difference</x:v>
      </x:c>
      <x:c r="O1" s="12" t="str">
        <x:v>Recomputed cure ratio %</x:v>
      </x:c>
      <x:c r="P1" s="12" t="str">
        <x:v>Beginning bridge difference</x:v>
      </x:c>
    </x:row>
    <x:row r="2">
      <x:c r="A2" s="13" t="str">
        <x:v>2025-08</x:v>
      </x:c>
      <x:c r="B2" s="13" t="n">
        <x:v>2025</x:v>
      </x:c>
      <x:c r="C2" s="13" t="str">
        <x:v>Aug</x:v>
      </x:c>
      <x:c r="D2" s="25" t="n">
        <x:v>345248</x:v>
      </x:c>
      <x:c r="E2" s="25" t="n">
        <x:v>80518</x:v>
      </x:c>
      <x:c r="F2" s="25" t="n">
        <x:v>61498</x:v>
      </x:c>
      <x:c r="G2" s="25" t="n">
        <x:v>1549</x:v>
      </x:c>
      <x:c r="H2" s="25" t="n">
        <x:v>1997</x:v>
      </x:c>
      <x:c r="I2" s="25" t="n">
        <x:v>360722</x:v>
      </x:c>
      <x:c r="J2" s="25" t="n">
        <x:v>-7388</x:v>
      </x:c>
      <x:c r="K2" s="21" t="n">
        <x:v>76.4</x:v>
      </x:c>
      <x:c r="L2" s="13" t="n">
        <x:v>2</x:v>
      </x:c>
      <x:c r="M2" s="13" t="n">
        <x:v>3</x:v>
      </x:c>
      <x:c r="N2" s="25" t="n">
        <x:f>I2-(D2+E2-F2-G2-H2)</x:f>
        <x:v>0</x:v>
      </x:c>
      <x:c r="O2" s="21" t="n">
        <x:f>ROUND(F2/E2*100,1)</x:f>
        <x:v>76.4</x:v>
      </x:c>
      <x:c r="P2" s="25" t="str">
        <x:v>—</x:v>
      </x:c>
    </x:row>
    <x:row r="3">
      <x:c r="A3" s="13" t="str">
        <x:v>2025-09</x:v>
      </x:c>
      <x:c r="B3" s="13" t="n">
        <x:v>2025</x:v>
      </x:c>
      <x:c r="C3" s="13" t="str">
        <x:v>Sep</x:v>
      </x:c>
      <x:c r="D3" s="25" t="n">
        <x:v>361697</x:v>
      </x:c>
      <x:c r="E3" s="25" t="n">
        <x:v>79907</x:v>
      </x:c>
      <x:c r="F3" s="25" t="n">
        <x:v>69013</x:v>
      </x:c>
      <x:c r="G3" s="25" t="n">
        <x:v>1605</x:v>
      </x:c>
      <x:c r="H3" s="25" t="n">
        <x:v>2088</x:v>
      </x:c>
      <x:c r="I3" s="25" t="n">
        <x:v>368898</x:v>
      </x:c>
      <x:c r="J3" s="25" t="n">
        <x:v>975</x:v>
      </x:c>
      <x:c r="K3" s="21" t="n">
        <x:v>86.4</x:v>
      </x:c>
      <x:c r="L3" s="13" t="n">
        <x:v>2</x:v>
      </x:c>
      <x:c r="M3" s="13" t="n">
        <x:v>3</x:v>
      </x:c>
      <x:c r="N3" s="25" t="n">
        <x:f>I3-(D3+E3-F3-G3-H3)</x:f>
        <x:v>0</x:v>
      </x:c>
      <x:c r="O3" s="21" t="n">
        <x:f>ROUND(F3/E3*100,1)</x:f>
        <x:v>86.4</x:v>
      </x:c>
      <x:c r="P3" s="25" t="n">
        <x:f>D3-(I2+J3)</x:f>
        <x:v>0</x:v>
      </x:c>
    </x:row>
    <x:row r="4">
      <x:c r="A4" s="13" t="str">
        <x:v>2025-10</x:v>
      </x:c>
      <x:c r="B4" s="13" t="n">
        <x:v>2025</x:v>
      </x:c>
      <x:c r="C4" s="13" t="str">
        <x:v>Oct</x:v>
      </x:c>
      <x:c r="D4" s="25" t="n">
        <x:v>369662</x:v>
      </x:c>
      <x:c r="E4" s="25" t="n">
        <x:v>79241</x:v>
      </x:c>
      <x:c r="F4" s="25" t="n">
        <x:v>72080</x:v>
      </x:c>
      <x:c r="G4" s="25" t="n">
        <x:v>1448</x:v>
      </x:c>
      <x:c r="H4" s="25" t="n">
        <x:v>2203</x:v>
      </x:c>
      <x:c r="I4" s="25" t="n">
        <x:v>373172</x:v>
      </x:c>
      <x:c r="J4" s="25" t="n">
        <x:v>764</x:v>
      </x:c>
      <x:c r="K4" s="21" t="n">
        <x:v>91</x:v>
      </x:c>
      <x:c r="L4" s="13" t="n">
        <x:v>2</x:v>
      </x:c>
      <x:c r="M4" s="13" t="n">
        <x:v>3</x:v>
      </x:c>
      <x:c r="N4" s="25" t="n">
        <x:f>I4-(D4+E4-F4-G4-H4)</x:f>
        <x:v>0</x:v>
      </x:c>
      <x:c r="O4" s="21" t="n">
        <x:f>ROUND(F4/E4*100,1)</x:f>
        <x:v>91</x:v>
      </x:c>
      <x:c r="P4" s="25" t="n">
        <x:f>D4-(I3+J4)</x:f>
        <x:v>0</x:v>
      </x:c>
    </x:row>
    <x:row r="5">
      <x:c r="A5" s="13" t="str">
        <x:v>2025-11</x:v>
      </x:c>
      <x:c r="B5" s="13" t="n">
        <x:v>2025</x:v>
      </x:c>
      <x:c r="C5" s="13" t="str">
        <x:v>Nov</x:v>
      </x:c>
      <x:c r="D5" s="25" t="n">
        <x:v>374049</x:v>
      </x:c>
      <x:c r="E5" s="25" t="n">
        <x:v>93112</x:v>
      </x:c>
      <x:c r="F5" s="25" t="n">
        <x:v>37147</x:v>
      </x:c>
      <x:c r="G5" s="25" t="n">
        <x:v>1374</x:v>
      </x:c>
      <x:c r="H5" s="25" t="n">
        <x:v>1741</x:v>
      </x:c>
      <x:c r="I5" s="25" t="n">
        <x:v>426899</x:v>
      </x:c>
      <x:c r="J5" s="25" t="n">
        <x:v>877</x:v>
      </x:c>
      <x:c r="K5" s="21" t="n">
        <x:v>39.9</x:v>
      </x:c>
      <x:c r="L5" s="13" t="n">
        <x:v>2</x:v>
      </x:c>
      <x:c r="M5" s="13" t="n">
        <x:v>3</x:v>
      </x:c>
      <x:c r="N5" s="25" t="n">
        <x:f>I5-(D5+E5-F5-G5-H5)</x:f>
        <x:v>0</x:v>
      </x:c>
      <x:c r="O5" s="21" t="n">
        <x:f>ROUND(F5/E5*100,1)</x:f>
        <x:v>39.9</x:v>
      </x:c>
      <x:c r="P5" s="25" t="n">
        <x:f>D5-(I4+J5)</x:f>
        <x:v>0</x:v>
      </x:c>
    </x:row>
    <x:row r="6">
      <x:c r="A6" s="13" t="str">
        <x:v>2025-12</x:v>
      </x:c>
      <x:c r="B6" s="13" t="n">
        <x:v>2025</x:v>
      </x:c>
      <x:c r="C6" s="13" t="str">
        <x:v>Dec</x:v>
      </x:c>
      <x:c r="D6" s="25" t="n">
        <x:v>427789</x:v>
      </x:c>
      <x:c r="E6" s="25" t="n">
        <x:v>89253</x:v>
      </x:c>
      <x:c r="F6" s="25" t="n">
        <x:v>35317</x:v>
      </x:c>
      <x:c r="G6" s="25" t="n">
        <x:v>1617</x:v>
      </x:c>
      <x:c r="H6" s="25" t="n">
        <x:v>2296</x:v>
      </x:c>
      <x:c r="I6" s="25" t="n">
        <x:v>477812</x:v>
      </x:c>
      <x:c r="J6" s="25" t="n">
        <x:v>890</x:v>
      </x:c>
      <x:c r="K6" s="21" t="n">
        <x:v>39.6</x:v>
      </x:c>
      <x:c r="L6" s="13" t="n">
        <x:v>2</x:v>
      </x:c>
      <x:c r="M6" s="13" t="n">
        <x:v>3</x:v>
      </x:c>
      <x:c r="N6" s="25" t="n">
        <x:f>I6-(D6+E6-F6-G6-H6)</x:f>
        <x:v>0</x:v>
      </x:c>
      <x:c r="O6" s="21" t="n">
        <x:f>ROUND(F6/E6*100,1)</x:f>
        <x:v>39.6</x:v>
      </x:c>
      <x:c r="P6" s="25" t="n">
        <x:f>D6-(I5+J6)</x:f>
        <x:v>0</x:v>
      </x:c>
    </x:row>
    <x:row r="7">
      <x:c r="A7" s="13" t="str">
        <x:v>2026-01</x:v>
      </x:c>
      <x:c r="B7" s="13" t="n">
        <x:v>2026</x:v>
      </x:c>
      <x:c r="C7" s="13" t="str">
        <x:v>Jan</x:v>
      </x:c>
      <x:c r="D7" s="25" t="n">
        <x:v>478768</x:v>
      </x:c>
      <x:c r="E7" s="25" t="n">
        <x:v>83607</x:v>
      </x:c>
      <x:c r="F7" s="25" t="n">
        <x:v>44506</x:v>
      </x:c>
      <x:c r="G7" s="25" t="n">
        <x:v>1569</x:v>
      </x:c>
      <x:c r="H7" s="25" t="n">
        <x:v>1846</x:v>
      </x:c>
      <x:c r="I7" s="25" t="n">
        <x:v>514454</x:v>
      </x:c>
      <x:c r="J7" s="25" t="n">
        <x:v>956</x:v>
      </x:c>
      <x:c r="K7" s="21" t="n">
        <x:v>53.2</x:v>
      </x:c>
      <x:c r="L7" s="13" t="n">
        <x:v>2</x:v>
      </x:c>
      <x:c r="M7" s="13" t="n">
        <x:v>3</x:v>
      </x:c>
      <x:c r="N7" s="25" t="n">
        <x:f>I7-(D7+E7-F7-G7-H7)</x:f>
        <x:v>0</x:v>
      </x:c>
      <x:c r="O7" s="21" t="n">
        <x:f>ROUND(F7/E7*100,1)</x:f>
        <x:v>53.2</x:v>
      </x:c>
      <x:c r="P7" s="25" t="n">
        <x:f>D7-(I6+J7)</x:f>
        <x:v>0</x:v>
      </x:c>
    </x:row>
    <x:row r="8">
      <x:c r="A8" s="13" t="str">
        <x:v>2026-02</x:v>
      </x:c>
      <x:c r="B8" s="13" t="n">
        <x:v>2026</x:v>
      </x:c>
      <x:c r="C8" s="13" t="str">
        <x:v>Feb</x:v>
      </x:c>
      <x:c r="D8" s="25" t="n">
        <x:v>516854</x:v>
      </x:c>
      <x:c r="E8" s="25" t="n">
        <x:v>84540</x:v>
      </x:c>
      <x:c r="F8" s="25" t="n">
        <x:v>41332</x:v>
      </x:c>
      <x:c r="G8" s="25" t="n">
        <x:v>1394</x:v>
      </x:c>
      <x:c r="H8" s="25" t="n">
        <x:v>1903</x:v>
      </x:c>
      <x:c r="I8" s="25" t="n">
        <x:v>556765</x:v>
      </x:c>
      <x:c r="J8" s="25" t="n">
        <x:v>2400</x:v>
      </x:c>
      <x:c r="K8" s="21" t="n">
        <x:v>48.9</x:v>
      </x:c>
      <x:c r="L8" s="13" t="n">
        <x:v>2</x:v>
      </x:c>
      <x:c r="M8" s="13" t="n">
        <x:v>3</x:v>
      </x:c>
      <x:c r="N8" s="25" t="n">
        <x:f>I8-(D8+E8-F8-G8-H8)</x:f>
        <x:v>0</x:v>
      </x:c>
      <x:c r="O8" s="21" t="n">
        <x:f>ROUND(F8/E8*100,1)</x:f>
        <x:v>48.9</x:v>
      </x:c>
      <x:c r="P8" s="25" t="n">
        <x:f>D8-(I7+J8)</x:f>
        <x:v>0</x:v>
      </x:c>
    </x:row>
    <x:row r="9">
      <x:c r="A9" s="13" t="str">
        <x:v>2026-03</x:v>
      </x:c>
      <x:c r="B9" s="13" t="n">
        <x:v>2026</x:v>
      </x:c>
      <x:c r="C9" s="13" t="str">
        <x:v>Mar</x:v>
      </x:c>
      <x:c r="D9" s="25" t="n">
        <x:v>557796</x:v>
      </x:c>
      <x:c r="E9" s="25" t="n">
        <x:v>57788</x:v>
      </x:c>
      <x:c r="F9" s="25" t="n">
        <x:v>62414</x:v>
      </x:c>
      <x:c r="G9" s="25" t="n">
        <x:v>1727</x:v>
      </x:c>
      <x:c r="H9" s="25" t="n">
        <x:v>2677</x:v>
      </x:c>
      <x:c r="I9" s="25" t="n">
        <x:v>548766</x:v>
      </x:c>
      <x:c r="J9" s="25" t="n">
        <x:v>1031</x:v>
      </x:c>
      <x:c r="K9" s="21" t="n">
        <x:v>108</x:v>
      </x:c>
      <x:c r="L9" s="13" t="n">
        <x:v>2</x:v>
      </x:c>
      <x:c r="M9" s="13" t="n">
        <x:v>3</x:v>
      </x:c>
      <x:c r="N9" s="25" t="n">
        <x:f>I9-(D9+E9-F9-G9-H9)</x:f>
        <x:v>0</x:v>
      </x:c>
      <x:c r="O9" s="21" t="n">
        <x:f>ROUND(F9/E9*100,1)</x:f>
        <x:v>108</x:v>
      </x:c>
      <x:c r="P9" s="25" t="n">
        <x:f>D9-(I8+J9)</x:f>
        <x:v>0</x:v>
      </x:c>
    </x:row>
    <x:row r="10">
      <x:c r="A10" s="13" t="str">
        <x:v>2026-04</x:v>
      </x:c>
      <x:c r="B10" s="13" t="n">
        <x:v>2026</x:v>
      </x:c>
      <x:c r="C10" s="13" t="str">
        <x:v>Apr</x:v>
      </x:c>
      <x:c r="D10" s="25" t="n">
        <x:v>549993</x:v>
      </x:c>
      <x:c r="E10" s="25" t="n">
        <x:v>55860</x:v>
      </x:c>
      <x:c r="F10" s="25" t="n">
        <x:v>59022</x:v>
      </x:c>
      <x:c r="G10" s="25" t="n">
        <x:v>2029</x:v>
      </x:c>
      <x:c r="H10" s="25" t="n">
        <x:v>2770</x:v>
      </x:c>
      <x:c r="I10" s="25" t="n">
        <x:v>542032</x:v>
      </x:c>
      <x:c r="J10" s="25" t="n">
        <x:v>1227</x:v>
      </x:c>
      <x:c r="K10" s="21" t="n">
        <x:v>105.7</x:v>
      </x:c>
      <x:c r="L10" s="13" t="n">
        <x:v>2</x:v>
      </x:c>
      <x:c r="M10" s="13" t="n">
        <x:v>3</x:v>
      </x:c>
      <x:c r="N10" s="25" t="n">
        <x:f>I10-(D10+E10-F10-G10-H10)</x:f>
        <x:v>0</x:v>
      </x:c>
      <x:c r="O10" s="21" t="n">
        <x:f>ROUND(F10/E10*100,1)</x:f>
        <x:v>105.7</x:v>
      </x:c>
      <x:c r="P10" s="25" t="n">
        <x:f>D10-(I9+J10)</x:f>
        <x:v>0</x:v>
      </x:c>
    </x:row>
    <x:row r="11">
      <x:c r="A11" s="13" t="str">
        <x:v>2026-05</x:v>
      </x:c>
      <x:c r="B11" s="13" t="n">
        <x:v>2026</x:v>
      </x:c>
      <x:c r="C11" s="13" t="str">
        <x:v>May</x:v>
      </x:c>
      <x:c r="D11" s="25" t="n">
        <x:v>543137</x:v>
      </x:c>
      <x:c r="E11" s="25" t="n">
        <x:v>59763</x:v>
      </x:c>
      <x:c r="F11" s="25" t="n">
        <x:v>55498</x:v>
      </x:c>
      <x:c r="G11" s="25" t="n">
        <x:v>1880</x:v>
      </x:c>
      <x:c r="H11" s="25" t="n">
        <x:v>2372</x:v>
      </x:c>
      <x:c r="I11" s="25" t="n">
        <x:v>543150</x:v>
      </x:c>
      <x:c r="J11" s="25" t="n">
        <x:v>1105</x:v>
      </x:c>
      <x:c r="K11" s="21" t="n">
        <x:v>92.9</x:v>
      </x:c>
      <x:c r="L11" s="13" t="n">
        <x:v>2</x:v>
      </x:c>
      <x:c r="M11" s="13" t="n">
        <x:v>3</x:v>
      </x:c>
      <x:c r="N11" s="25" t="n">
        <x:f>I11-(D11+E11-F11-G11-H11)</x:f>
        <x:v>0</x:v>
      </x:c>
      <x:c r="O11" s="21" t="n">
        <x:f>ROUND(F11/E11*100,1)</x:f>
        <x:v>92.9</x:v>
      </x:c>
      <x:c r="P11" s="25" t="n">
        <x:f>D11-(I10+J11)</x:f>
        <x:v>0</x:v>
      </x:c>
    </x:row>
    <x:row r="12">
      <x:c r="A12" s="13" t="str">
        <x:v>2026-06</x:v>
      </x:c>
      <x:c r="B12" s="13" t="n">
        <x:v>2026</x:v>
      </x:c>
      <x:c r="C12" s="13" t="str">
        <x:v>Jun</x:v>
      </x:c>
      <x:c r="D12" s="25" t="n">
        <x:v>544481</x:v>
      </x:c>
      <x:c r="E12" s="25" t="n">
        <x:v>61143</x:v>
      </x:c>
      <x:c r="F12" s="25" t="n">
        <x:v>59248</x:v>
      </x:c>
      <x:c r="G12" s="25" t="n">
        <x:v>2137</x:v>
      </x:c>
      <x:c r="H12" s="25" t="n">
        <x:v>2720</x:v>
      </x:c>
      <x:c r="I12" s="25" t="n">
        <x:v>541519</x:v>
      </x:c>
      <x:c r="J12" s="25" t="n">
        <x:v>1331</x:v>
      </x:c>
      <x:c r="K12" s="21" t="n">
        <x:v>96.9</x:v>
      </x:c>
      <x:c r="L12" s="13" t="n">
        <x:v>2</x:v>
      </x:c>
      <x:c r="M12" s="13" t="n">
        <x:v>3</x:v>
      </x:c>
      <x:c r="N12" s="25" t="n">
        <x:f>I12-(D12+E12-F12-G12-H12)</x:f>
        <x:v>0</x:v>
      </x:c>
      <x:c r="O12" s="21" t="n">
        <x:f>ROUND(F12/E12*100,1)</x:f>
        <x:v>96.9</x:v>
      </x:c>
      <x:c r="P12" s="25" t="n">
        <x:f>D12-(I11+J12)</x:f>
        <x:v>0</x:v>
      </x:c>
    </x:row>
    <x:row r="13">
      <x:c r="A13" s="13" t="str">
        <x:v>2026-07</x:v>
      </x:c>
      <x:c r="B13" s="13" t="n">
        <x:v>2026</x:v>
      </x:c>
      <x:c r="C13" s="13" t="str">
        <x:v>Jul</x:v>
      </x:c>
      <x:c r="D13" s="25" t="n">
        <x:v>542997</x:v>
      </x:c>
      <x:c r="E13" s="25" t="n">
        <x:v>60705</x:v>
      </x:c>
      <x:c r="F13" s="25" t="n">
        <x:v>63461</x:v>
      </x:c>
      <x:c r="G13" s="25" t="n">
        <x:v>2217</x:v>
      </x:c>
      <x:c r="H13" s="25" t="n">
        <x:v>2704</x:v>
      </x:c>
      <x:c r="I13" s="25" t="n">
        <x:v>535320</x:v>
      </x:c>
      <x:c r="J13" s="25" t="n">
        <x:v>1478</x:v>
      </x:c>
      <x:c r="K13" s="21" t="n">
        <x:v>104.5</x:v>
      </x:c>
      <x:c r="L13" s="13" t="n">
        <x:v>2</x:v>
      </x:c>
      <x:c r="M13" s="13" t="n">
        <x:v>3</x:v>
      </x:c>
      <x:c r="N13" s="25" t="n">
        <x:f>I13-(D13+E13-F13-G13-H13)</x:f>
        <x:v>0</x:v>
      </x:c>
      <x:c r="O13" s="21" t="n">
        <x:f>ROUND(F13/E13*100,1)</x:f>
        <x:v>104.5</x:v>
      </x:c>
      <x:c r="P13" s="25" t="n">
        <x:f>D13-(I12+J13)</x:f>
        <x:v>0</x:v>
      </x:c>
    </x:row>
    <x:row r="14">
      <x:c r="A14" s="13" t="str">
        <x:v>2026-08</x:v>
      </x:c>
      <x:c r="B14" s="13" t="n">
        <x:v>2026</x:v>
      </x:c>
      <x:c r="C14" s="13" t="str">
        <x:v>Aug</x:v>
      </x:c>
      <x:c r="D14" s="25" t="n">
        <x:v>537258</x:v>
      </x:c>
      <x:c r="E14" s="25" t="n">
        <x:v>65811</x:v>
      </x:c>
      <x:c r="F14" s="25" t="n">
        <x:v>57893</x:v>
      </x:c>
      <x:c r="G14" s="25" t="n">
        <x:v>2288</x:v>
      </x:c>
      <x:c r="H14" s="25" t="n">
        <x:v>2478</x:v>
      </x:c>
      <x:c r="I14" s="25" t="n">
        <x:v>540410</x:v>
      </x:c>
      <x:c r="J14" s="25" t="n">
        <x:v>1938</x:v>
      </x:c>
      <x:c r="K14" s="21" t="n">
        <x:v>88</x:v>
      </x:c>
      <x:c r="L14" s="13" t="n">
        <x:v>2</x:v>
      </x:c>
      <x:c r="M14" s="13" t="n">
        <x:v>3</x:v>
      </x:c>
      <x:c r="N14" s="25" t="n">
        <x:f>I14-(D14+E14-F14-G14-H14)</x:f>
        <x:v>0</x:v>
      </x:c>
      <x:c r="O14" s="21" t="n">
        <x:f>ROUND(F14/E14*100,1)</x:f>
        <x:v>88</x:v>
      </x:c>
      <x:c r="P14" s="25" t="n">
        <x:f>D14-(I13+J14)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9d6c0e26fce47ac"/>
  </x:tableParts>
</x:worksheet>
</file>