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60f99c57274d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eb503bc258a4157"/>
    <x:sheet xmlns:r="http://schemas.openxmlformats.org/officeDocument/2006/relationships" name="Period ledger" sheetId="2" r:id="R1a935b464cf844a7"/>
    <x:sheet xmlns:r="http://schemas.openxmlformats.org/officeDocument/2006/relationships" name="Method &amp; sources" sheetId="3" r:id="R9222389ac33547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;[Red]($#,##0.00);–"/>
    <x:numFmt numFmtId="201" formatCode="#,##0;[Red](#,##0);–"/>
  </x:numFmts>
  <x:fonts count="8">
    <x:font>
      <x:sz val="11"/>
      <x:name val="Carlito"/>
    </x:font>
    <x:font>
      <x:b/>
      <x:sz val="16"/>
      <x:color rgb="FFFFFFFF"/>
      <x:name val="Aptos Display"/>
    </x:font>
    <x:font>
      <x:sz val="10"/>
      <x:color rgb="FF17324D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664D03"/>
      <x:name val="Carlito"/>
    </x:font>
    <x:font>
      <x:sz val="11"/>
      <x:color rgb="FF7A271A"/>
      <x:name val="Carlito"/>
    </x:font>
    <x:font>
      <x:b/>
      <x:sz val="9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9F1F6"/>
      </x:patternFill>
    </x:fill>
    <x:fill>
      <x:patternFill patternType="solid">
        <x:fgColor rgb="FF315E7D"/>
      </x:patternFill>
    </x:fill>
    <x:fill>
      <x:patternFill patternType="solid">
        <x:fgColor rgb="FFFFF2D8"/>
      </x:patternFill>
    </x:fill>
    <x:fill>
      <x:patternFill patternType="solid">
        <x:fgColor rgb="FFFCE8E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right" vertical="center" wrapText="1"/>
    </x:xf>
    <x:xf numFmtId="200" fontId="4" fillId="0" borderId="0" xfId="0" applyNumberFormat="1" applyFont="1" applyFill="1" applyBorder="1" applyAlignment="1">
      <x:alignment horizontal="right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4b17c5c39a4fb1" /><Relationship Type="http://schemas.openxmlformats.org/officeDocument/2006/relationships/theme" Target="/xl/theme/theme1.xml" Id="R71c570c4570d40cf" /><Relationship Type="http://schemas.microsoft.com/office/2022/11/relationships/FeaturePropertyBag" Target="/xl/featurePropertyBag/featurePropertyBag.xml" Id="R022076209a0041f4" /><Relationship Type="http://schemas.openxmlformats.org/officeDocument/2006/relationships/sharedStrings" Target="/xl/sharedStrings.xml" Id="R8f37e5c8db1c4d6d" /><Relationship Type="http://schemas.openxmlformats.org/officeDocument/2006/relationships/worksheet" Target="/xl/worksheets/sheet1.xml" Id="Rbeb503bc258a4157" /><Relationship Type="http://schemas.openxmlformats.org/officeDocument/2006/relationships/worksheet" Target="/xl/worksheets/sheet2.xml" Id="R1a935b464cf844a7" /><Relationship Type="http://schemas.openxmlformats.org/officeDocument/2006/relationships/worksheet" Target="/xl/worksheets/sheet3.xml" Id="R9222389ac335470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Nissan2024BPeriodLedger" displayName="Nissan2024BPeriodLedger" ref="A1:BN24" headerRowCount="1" totalsRowCount="0" totalsRowShown="0">
  <x:autoFilter ref="A1:BN24"/>
  <x:tableColumns count="66">
    <x:tableColumn id="1" name="report_date"/>
    <x:tableColumn id="2" name="report_month"/>
    <x:tableColumn id="3" name="collection_period_start"/>
    <x:tableColumn id="4" name="collection_period_end"/>
    <x:tableColumn id="5" name="collection_period_calendar_days"/>
    <x:tableColumn id="6" name="abs_ee_accession"/>
    <x:tableColumn id="7" name="ten_d_accession"/>
    <x:tableColumn id="8" name="abs_ee_filing_url"/>
    <x:tableColumn id="9" name="certificate_ex991_url"/>
    <x:tableColumn id="10" name="asset_pool_balance_usd"/>
    <x:tableColumn id="11" name="certificate_pool_balance_usd"/>
    <x:tableColumn id="12" name="pool_balance_delta_usd"/>
    <x:tableColumn id="13" name="pool_balance_tie"/>
    <x:tableColumn id="14" name="asset_positive_balance_count"/>
    <x:tableColumn id="15" name="certificate_contract_count"/>
    <x:tableColumn id="16" name="positive_balance_count_tie"/>
    <x:tableColumn id="17" name="asset_chargeoff_event_count"/>
    <x:tableColumn id="18" name="certificate_defaulted_receivables_count"/>
    <x:tableColumn id="19" name="asset_chargeoff_amount_positive_usd"/>
    <x:tableColumn id="20" name="certificate_gross_defaulted_principal_signed_usd"/>
    <x:tableColumn id="21" name="chargeoff_count_tie"/>
    <x:tableColumn id="22" name="chargeoff_amount_tie"/>
    <x:tableColumn id="23" name="first_code4_event_count"/>
    <x:tableColumn id="24" name="first_code4_positive_chargeoff_count"/>
    <x:tableColumn id="25" name="first_code4_chargeoff_amount_usd"/>
    <x:tableColumn id="26" name="first_code4_count_tie"/>
    <x:tableColumn id="27" name="first_code4_amount_tie"/>
    <x:tableColumn id="28" name="asset_recovered_amount_usd"/>
    <x:tableColumn id="29" name="certificate_recoveries_of_defaulted_receivables_usd"/>
    <x:tableColumn id="30" name="certificate_principal_recoveries_usd"/>
    <x:tableColumn id="31" name="asset_minus_certificate_recovery_usd"/>
    <x:tableColumn id="32" name="recovery_current_amount_tie"/>
    <x:tableColumn id="33" name="recovery_principal_amount_tie"/>
    <x:tableColumn id="34" name="certificate_monthly_net_losses_usd"/>
    <x:tableColumn id="35" name="certificate_current_net_loss_ratio_pct"/>
    <x:tableColumn id="36" name="certificate_cumulative_net_losses_usd"/>
    <x:tableColumn id="37" name="monthly_net_loss_identity_exact"/>
    <x:tableColumn id="38" name="cumulative_net_loss_identity_exact"/>
    <x:tableColumn id="39" name="dpd_literal_exact_fields"/>
    <x:tableColumn id="40" name="dpd_total_field_checks"/>
    <x:tableColumn id="41" name="dpd_shifted_exact_fields_diagnostic_only"/>
    <x:tableColumn id="42" name="dpd_31_60_count_delta"/>
    <x:tableColumn id="43" name="dpd_31_60_balance_delta_usd"/>
    <x:tableColumn id="44" name="dpd_31_60_count_exact"/>
    <x:tableColumn id="45" name="dpd_31_60_balance_exact"/>
    <x:tableColumn id="46" name="dpd_61_90_count_delta"/>
    <x:tableColumn id="47" name="dpd_61_90_balance_delta_usd"/>
    <x:tableColumn id="48" name="dpd_61_90_count_exact"/>
    <x:tableColumn id="49" name="dpd_61_90_balance_exact"/>
    <x:tableColumn id="50" name="dpd_91_120_count_delta"/>
    <x:tableColumn id="51" name="dpd_91_120_balance_delta_usd"/>
    <x:tableColumn id="52" name="dpd_91_120_count_exact"/>
    <x:tableColumn id="53" name="dpd_91_120_balance_exact"/>
    <x:tableColumn id="54" name="dpd_over_120_count_delta"/>
    <x:tableColumn id="55" name="dpd_over_120_balance_delta_usd"/>
    <x:tableColumn id="56" name="dpd_over_120_count_exact"/>
    <x:tableColumn id="57" name="dpd_over_120_balance_exact"/>
    <x:tableColumn id="58" name="focus_event_audit_present"/>
    <x:tableColumn id="59" name="asset_positive_chargeoff_row_count_focus"/>
    <x:tableColumn id="60" name="first_code4_repeated_count_focus"/>
    <x:tableColumn id="61" name="first_code4_repeated_amount_usd_focus"/>
    <x:tableColumn id="62" name="first_code4_zero_amount_count_focus"/>
    <x:tableColumn id="63" name="positive_chargeoff_without_code4_count_focus"/>
    <x:tableColumn id="64" name="positive_recovery_row_months_with_prior_code4"/>
    <x:tableColumn id="65" name="positive_recovery_amount_on_prior_code4_assets_usd"/>
    <x:tableColumn id="66" name="negative_recovery_rows_foc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issanMethodSources" displayName="NissanMethodSources" ref="A1:B20" headerRowCount="1" totalsRowCount="0" totalsRowShown="0">
  <x:tableColumns count="2">
    <x:tableColumn id="1" name="Topic"/>
    <x:tableColumn id="2" name="Definition / 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eb31cb20f8449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70759a314a844e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23" hidden="0" customWidth="1"/>
    <x:col min="3" max="3" width="72" hidden="0" customWidth="1"/>
    <x:col min="4" max="4" width="18" hidden="0" customWidth="1"/>
  </x:cols>
  <x:sheetData>
    <x:row r="1" ht="40" customHeight="1">
      <x:c r="A1" s="3" t="str">
        <x:v>Nissan 2024-B · event, DPD &amp; recovery reconciliation</x:v>
      </x:c>
      <x:c r="B1" s="3"/>
      <x:c r="C1" s="3"/>
      <x:c r="D1" s="3"/>
    </x:row>
    <x:row r="2" ht="24" customHeight="1">
      <x:c r="A2" s="6" t="str">
        <x:v>23 source periods · monthly aggregates · source signs retained · unresolved items stay visible</x:v>
      </x:c>
      <x:c r="B2" s="6"/>
      <x:c r="C2" s="6"/>
      <x:c r="D2" s="6"/>
    </x:row>
    <x:row r="4" ht="32" customHeight="1">
      <x:c r="A4" s="10" t="str">
        <x:v>Control</x:v>
      </x:c>
      <x:c r="B4" s="10" t="str">
        <x:v>Recalculated result</x:v>
      </x:c>
      <x:c r="C4" s="10" t="str">
        <x:v>Interpretation</x:v>
      </x:c>
    </x:row>
    <x:row r="5" ht="33" customHeight="1">
      <x:c r="A5" s="14" t="str">
        <x:v>Reporting periods</x:v>
      </x:c>
      <x:c r="B5" s="16" t="n">
        <x:f>COUNTA('Period ledger'!$B$2:$B$24)</x:f>
        <x:v>23</x:v>
      </x:c>
      <x:c r="C5" s="12" t="str">
        <x:v>Audited periods in the public aggregate ledger.</x:v>
      </x:c>
    </x:row>
    <x:row r="6" ht="33" customHeight="1">
      <x:c r="A6" s="14" t="str">
        <x:v>Pool balance exact periods</x:v>
      </x:c>
      <x:c r="B6" s="16" t="n">
        <x:f>COUNTIF('Period ledger'!$M$2:$M$24,"TIED")</x:f>
        <x:v>23</x:v>
      </x:c>
      <x:c r="C6" s="12" t="str">
        <x:v>ABS-EE ending pool balance equals certificate pool balance.</x:v>
      </x:c>
    </x:row>
    <x:row r="7" ht="33" customHeight="1">
      <x:c r="A7" s="14" t="str">
        <x:v>Positive balance / contract count exact</x:v>
      </x:c>
      <x:c r="B7" s="16" t="n">
        <x:f>COUNTIF('Period ledger'!$P$2:$P$24,"TIED")</x:f>
        <x:v>23</x:v>
      </x:c>
      <x:c r="C7" s="12" t="str">
        <x:v>Positive asset ending-balance count equals certificate contract count.</x:v>
      </x:c>
    </x:row>
    <x:row r="8" ht="33" customHeight="1">
      <x:c r="A8" s="14" t="str">
        <x:v>Positive charge-off count exact</x:v>
      </x:c>
      <x:c r="B8" s="16" t="n">
        <x:f>COUNTIF('Period ledger'!$U$2:$U$24,"TIED")</x:f>
        <x:v>20</x:v>
      </x:c>
      <x:c r="C8" s="12" t="str">
        <x:v>A separate event candidate; not a universal default-event definition.</x:v>
      </x:c>
    </x:row>
    <x:row r="9" ht="33" customHeight="1">
      <x:c r="A9" s="14" t="str">
        <x:v>Positive charge-off amount exact</x:v>
      </x:c>
      <x:c r="B9" s="16" t="n">
        <x:f>COUNTIF('Period ledger'!$V$2:$V$24,"TIED")</x:f>
        <x:v>21</x:v>
      </x:c>
      <x:c r="C9" s="12" t="str">
        <x:v>Amount comparison retains source signs and field meaning.</x:v>
      </x:c>
    </x:row>
    <x:row r="10" ht="33" customHeight="1">
      <x:c r="A10" s="14" t="str">
        <x:v>Recovery exact periods</x:v>
      </x:c>
      <x:c r="B10" s="16" t="n">
        <x:f>COUNTIF('Period ledger'!$AF$2:$AF$24,"TIED")</x:f>
        <x:v>17</x:v>
      </x:c>
      <x:c r="C10" s="12" t="str">
        <x:v>ABS-EE recoveredAmount equals certificate recoveries.</x:v>
      </x:c>
    </x:row>
    <x:row r="11" ht="33" customHeight="1">
      <x:c r="A11" s="14" t="str">
        <x:v>Recovery exception periods</x:v>
      </x:c>
      <x:c r="B11" s="16" t="n">
        <x:f>COUNTIF('Period ledger'!$AE$2:$AE$24,"&lt;&gt;0")</x:f>
        <x:v>6</x:v>
      </x:c>
      <x:c r="C11" s="12" t="str">
        <x:v>Non-zero ABS-EE minus certificate residuals remain unresolved.</x:v>
      </x:c>
    </x:row>
    <x:row r="12" ht="33" customHeight="1">
      <x:c r="A12" s="14" t="str">
        <x:v>Recovery residual total (USD)</x:v>
      </x:c>
      <x:c r="B12" s="17" t="n">
        <x:f>SUM('Period ledger'!$AE$2:$AE$24)</x:f>
        <x:v>8859.23</x:v>
      </x:c>
      <x:c r="C12" s="12" t="str">
        <x:v>Signed aggregate residual across six exception periods. Not LGD or net loss.</x:v>
      </x:c>
    </x:row>
    <x:row r="13" ht="33" customHeight="1">
      <x:c r="A13" s="14" t="str">
        <x:v>DPD literal exact fields</x:v>
      </x:c>
      <x:c r="B13" s="16" t="n">
        <x:f>SUM('Period ledger'!$AM$2:$AM$24)</x:f>
        <x:v>178</x:v>
      </x:c>
      <x:c r="C13" s="12" t="str">
        <x:v>Literal source bucket checks across all four buckets.</x:v>
      </x:c>
    </x:row>
    <x:row r="14" ht="33" customHeight="1">
      <x:c r="A14" s="14" t="str">
        <x:v>DPD shifted exact fields · diagnostic only</x:v>
      </x:c>
      <x:c r="B14" s="16" t="n">
        <x:f>SUM('Period ledger'!$AO$2:$AO$24)</x:f>
        <x:v>86</x:v>
      </x:c>
      <x:c r="C14" s="12" t="str">
        <x:v>Candidate boundary performs worse on full panel; not adopted.</x:v>
      </x:c>
    </x:row>
    <x:row r="15" ht="33" customHeight="1">
      <x:c r="A15" s="14" t="str">
        <x:v>July 2025 ABS-EE charge-off amount (USD)</x:v>
      </x:c>
      <x:c r="B15" s="17" t="n">
        <x:f>SUMIF('Period ledger'!$B$2:$B$24,"2025-07",'Period ledger'!$S$2:$S$24)</x:f>
        <x:v>655185.56</x:v>
      </x:c>
      <x:c r="C15" s="12" t="str">
        <x:v>36 positive event rows; do not equate directly with certificate principal.</x:v>
      </x:c>
    </x:row>
    <x:row r="16" ht="33" customHeight="1">
      <x:c r="A16" s="14" t="str">
        <x:v>July 2025 certificate gross defaulted principal · signed USD</x:v>
      </x:c>
      <x:c r="B16" s="17" t="n">
        <x:f>SUMIF('Period ledger'!$B$2:$B$24,"2025-07",'Period ledger'!$T$2:$T$24)</x:f>
        <x:v>-59000.49</x:v>
      </x:c>
      <x:c r="C16" s="12" t="str">
        <x:v>Source-reported signed principal amount.</x:v>
      </x:c>
    </x:row>
    <x:row r="17" ht="33" customHeight="1">
      <x:c r="A17" s="14" t="str">
        <x:v>June 2025 DPD literal exact fields</x:v>
      </x:c>
      <x:c r="B17" s="16" t="n">
        <x:f>SUMIF('Period ledger'!$B$2:$B$24,"2025-06",'Period ledger'!$AM$2:$AM$24)</x:f>
        <x:v>2</x:v>
      </x:c>
      <x:c r="C17" s="12" t="str">
        <x:v>Monthly certificate comparison, 8 bucket count/balance checks.</x:v>
      </x:c>
    </x:row>
    <x:row r="18" ht="33" customHeight="1">
      <x:c r="A18" s="14" t="str">
        <x:v>June 2025 shifted exact fields · diagnostic only</x:v>
      </x:c>
      <x:c r="B18" s="16" t="n">
        <x:f>SUMIF('Period ledger'!$B$2:$B$24,"2025-06",'Period ledger'!$AO$2:$AO$24)</x:f>
        <x:v>8</x:v>
      </x:c>
      <x:c r="C18" s="12" t="str">
        <x:v>Matches this month only; rejected as a system-wide rule.</x:v>
      </x:c>
    </x:row>
    <x:row r="20">
      <x:c r="A20" s="21" t="str">
        <x:v>Decision: do not force one event rule to fit every month. July 2025 charge-off, June 2025 DPD boundary and six recovery residuals remain exceptions for further source/servicer investigation. Candidate shifted DPD is diagnostic only; it reduces full-panel exact checks from 178/184 to 86/184.</x:v>
      </x:c>
      <x:c r="B20" s="21"/>
      <x:c r="C20" s="21"/>
      <x:c r="D20" s="21"/>
    </x:row>
    <x:row r="21">
      <x:c r="A21" s="21"/>
      <x:c r="B21" s="21"/>
      <x:c r="C21" s="21"/>
      <x:c r="D21" s="21"/>
    </x:row>
    <x:row r="22">
      <x:c r="A22" s="21"/>
      <x:c r="B22" s="21"/>
      <x:c r="C22" s="21"/>
      <x:c r="D22" s="21"/>
    </x:row>
    <x:row r="23">
      <x:c r="A23" s="21"/>
      <x:c r="B23" s="21"/>
      <x:c r="C23" s="21"/>
      <x:c r="D23" s="21"/>
    </x:row>
    <x:row r="25">
      <x:c r="A25" s="25" t="str">
        <x:v>Use limits: the ledger is source/parser reconciliation, not external model validation, event-label sign-off, LGD, PD, loss forecast, fraud indicator, or accounting estimate. No raw asset identifiers are published.</x:v>
      </x:c>
      <x:c r="B25" s="25"/>
      <x:c r="C25" s="25"/>
      <x:c r="D25" s="25"/>
    </x:row>
    <x:row r="26">
      <x:c r="A26" s="25"/>
      <x:c r="B26" s="25"/>
      <x:c r="C26" s="25"/>
      <x:c r="D26" s="25"/>
    </x:row>
    <x:row r="27">
      <x:c r="A27" s="25"/>
      <x:c r="B27" s="25"/>
      <x:c r="C27" s="25"/>
      <x:c r="D27" s="25"/>
    </x:row>
  </x:sheetData>
  <x:mergeCells>
    <x:mergeCell ref="A1:D1"/>
    <x:mergeCell ref="A2:D2"/>
    <x:mergeCell ref="A20:D23"/>
    <x:mergeCell ref="A25:D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7" hidden="0" customWidth="1"/>
    <x:col min="2" max="2" width="16" hidden="0" customWidth="1"/>
    <x:col min="3" max="3" width="17" hidden="0" customWidth="1"/>
    <x:col min="4" max="4" width="17" hidden="0" customWidth="1"/>
    <x:col min="5" max="5" width="17" hidden="0" customWidth="1"/>
    <x:col min="6" max="6" width="25" hidden="0" customWidth="1"/>
    <x:col min="7" max="7" width="25" hidden="0" customWidth="1"/>
    <x:col min="8" max="8" width="74" hidden="0" customWidth="1"/>
    <x:col min="9" max="9" width="74" hidden="0" customWidth="1"/>
    <x:col min="10" max="10" width="21" hidden="0" customWidth="1"/>
    <x:col min="11" max="11" width="21" hidden="0" customWidth="1"/>
    <x:col min="12" max="12" width="21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21" hidden="0" customWidth="1"/>
    <x:col min="20" max="20" width="21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21" hidden="0" customWidth="1"/>
    <x:col min="26" max="26" width="16" hidden="0" customWidth="1"/>
    <x:col min="27" max="27" width="16" hidden="0" customWidth="1"/>
    <x:col min="28" max="28" width="21" hidden="0" customWidth="1"/>
    <x:col min="29" max="29" width="21" hidden="0" customWidth="1"/>
    <x:col min="30" max="30" width="21" hidden="0" customWidth="1"/>
    <x:col min="31" max="31" width="21" hidden="0" customWidth="1"/>
    <x:col min="32" max="32" width="16" hidden="0" customWidth="1"/>
    <x:col min="33" max="33" width="16" hidden="0" customWidth="1"/>
    <x:col min="34" max="34" width="21" hidden="0" customWidth="1"/>
    <x:col min="35" max="35" width="16" hidden="0" customWidth="1"/>
    <x:col min="36" max="36" width="21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21" hidden="0" customWidth="1"/>
    <x:col min="44" max="44" width="16" hidden="0" customWidth="1"/>
    <x:col min="45" max="45" width="16" hidden="0" customWidth="1"/>
    <x:col min="46" max="46" width="16" hidden="0" customWidth="1"/>
    <x:col min="47" max="47" width="21" hidden="0" customWidth="1"/>
    <x:col min="48" max="48" width="16" hidden="0" customWidth="1"/>
    <x:col min="49" max="49" width="16" hidden="0" customWidth="1"/>
    <x:col min="50" max="50" width="16" hidden="0" customWidth="1"/>
    <x:col min="51" max="51" width="21" hidden="0" customWidth="1"/>
    <x:col min="52" max="52" width="16" hidden="0" customWidth="1"/>
    <x:col min="53" max="53" width="16" hidden="0" customWidth="1"/>
    <x:col min="54" max="54" width="16" hidden="0" customWidth="1"/>
    <x:col min="55" max="55" width="21" hidden="0" customWidth="1"/>
    <x:col min="56" max="56" width="16" hidden="0" customWidth="1"/>
    <x:col min="57" max="57" width="16" hidden="0" customWidth="1"/>
    <x:col min="58" max="58" width="16" hidden="0" customWidth="1"/>
    <x:col min="59" max="59" width="16" hidden="0" customWidth="1"/>
    <x:col min="60" max="60" width="16" hidden="0" customWidth="1"/>
    <x:col min="61" max="61" width="21" hidden="0" customWidth="1"/>
    <x:col min="62" max="62" width="16" hidden="0" customWidth="1"/>
    <x:col min="63" max="63" width="16" hidden="0" customWidth="1"/>
    <x:col min="64" max="64" width="16" hidden="0" customWidth="1"/>
    <x:col min="65" max="65" width="21" hidden="0" customWidth="1"/>
    <x:col min="66" max="66" width="16" hidden="0" customWidth="1"/>
  </x:cols>
  <x:sheetData>
    <x:row r="1" ht="54" customHeight="1">
      <x:c r="A1" s="30" t="str">
        <x:v>report_date</x:v>
      </x:c>
      <x:c r="B1" s="30" t="str">
        <x:v>report_month</x:v>
      </x:c>
      <x:c r="C1" s="30" t="str">
        <x:v>collection_period_start</x:v>
      </x:c>
      <x:c r="D1" s="30" t="str">
        <x:v>collection_period_end</x:v>
      </x:c>
      <x:c r="E1" s="30" t="str">
        <x:v>collection_period_calendar_days</x:v>
      </x:c>
      <x:c r="F1" s="30" t="str">
        <x:v>abs_ee_accession</x:v>
      </x:c>
      <x:c r="G1" s="30" t="str">
        <x:v>ten_d_accession</x:v>
      </x:c>
      <x:c r="H1" s="30" t="str">
        <x:v>abs_ee_filing_url</x:v>
      </x:c>
      <x:c r="I1" s="30" t="str">
        <x:v>certificate_ex991_url</x:v>
      </x:c>
      <x:c r="J1" s="30" t="str">
        <x:v>asset_pool_balance_usd</x:v>
      </x:c>
      <x:c r="K1" s="30" t="str">
        <x:v>certificate_pool_balance_usd</x:v>
      </x:c>
      <x:c r="L1" s="30" t="str">
        <x:v>pool_balance_delta_usd</x:v>
      </x:c>
      <x:c r="M1" s="30" t="str">
        <x:v>pool_balance_tie</x:v>
      </x:c>
      <x:c r="N1" s="30" t="str">
        <x:v>asset_positive_balance_count</x:v>
      </x:c>
      <x:c r="O1" s="30" t="str">
        <x:v>certificate_contract_count</x:v>
      </x:c>
      <x:c r="P1" s="30" t="str">
        <x:v>positive_balance_count_tie</x:v>
      </x:c>
      <x:c r="Q1" s="30" t="str">
        <x:v>asset_chargeoff_event_count</x:v>
      </x:c>
      <x:c r="R1" s="30" t="str">
        <x:v>certificate_defaulted_receivables_count</x:v>
      </x:c>
      <x:c r="S1" s="30" t="str">
        <x:v>asset_chargeoff_amount_positive_usd</x:v>
      </x:c>
      <x:c r="T1" s="30" t="str">
        <x:v>certificate_gross_defaulted_principal_signed_usd</x:v>
      </x:c>
      <x:c r="U1" s="30" t="str">
        <x:v>chargeoff_count_tie</x:v>
      </x:c>
      <x:c r="V1" s="30" t="str">
        <x:v>chargeoff_amount_tie</x:v>
      </x:c>
      <x:c r="W1" s="30" t="str">
        <x:v>first_code4_event_count</x:v>
      </x:c>
      <x:c r="X1" s="30" t="str">
        <x:v>first_code4_positive_chargeoff_count</x:v>
      </x:c>
      <x:c r="Y1" s="30" t="str">
        <x:v>first_code4_chargeoff_amount_usd</x:v>
      </x:c>
      <x:c r="Z1" s="30" t="str">
        <x:v>first_code4_count_tie</x:v>
      </x:c>
      <x:c r="AA1" s="30" t="str">
        <x:v>first_code4_amount_tie</x:v>
      </x:c>
      <x:c r="AB1" s="30" t="str">
        <x:v>asset_recovered_amount_usd</x:v>
      </x:c>
      <x:c r="AC1" s="30" t="str">
        <x:v>certificate_recoveries_of_defaulted_receivables_usd</x:v>
      </x:c>
      <x:c r="AD1" s="30" t="str">
        <x:v>certificate_principal_recoveries_usd</x:v>
      </x:c>
      <x:c r="AE1" s="30" t="str">
        <x:v>asset_minus_certificate_recovery_usd</x:v>
      </x:c>
      <x:c r="AF1" s="30" t="str">
        <x:v>recovery_current_amount_tie</x:v>
      </x:c>
      <x:c r="AG1" s="30" t="str">
        <x:v>recovery_principal_amount_tie</x:v>
      </x:c>
      <x:c r="AH1" s="30" t="str">
        <x:v>certificate_monthly_net_losses_usd</x:v>
      </x:c>
      <x:c r="AI1" s="30" t="str">
        <x:v>certificate_current_net_loss_ratio_pct</x:v>
      </x:c>
      <x:c r="AJ1" s="30" t="str">
        <x:v>certificate_cumulative_net_losses_usd</x:v>
      </x:c>
      <x:c r="AK1" s="30" t="str">
        <x:v>monthly_net_loss_identity_exact</x:v>
      </x:c>
      <x:c r="AL1" s="30" t="str">
        <x:v>cumulative_net_loss_identity_exact</x:v>
      </x:c>
      <x:c r="AM1" s="30" t="str">
        <x:v>dpd_literal_exact_fields</x:v>
      </x:c>
      <x:c r="AN1" s="30" t="str">
        <x:v>dpd_total_field_checks</x:v>
      </x:c>
      <x:c r="AO1" s="30" t="str">
        <x:v>dpd_shifted_exact_fields_diagnostic_only</x:v>
      </x:c>
      <x:c r="AP1" s="30" t="str">
        <x:v>dpd_31_60_count_delta</x:v>
      </x:c>
      <x:c r="AQ1" s="30" t="str">
        <x:v>dpd_31_60_balance_delta_usd</x:v>
      </x:c>
      <x:c r="AR1" s="30" t="str">
        <x:v>dpd_31_60_count_exact</x:v>
      </x:c>
      <x:c r="AS1" s="30" t="str">
        <x:v>dpd_31_60_balance_exact</x:v>
      </x:c>
      <x:c r="AT1" s="30" t="str">
        <x:v>dpd_61_90_count_delta</x:v>
      </x:c>
      <x:c r="AU1" s="30" t="str">
        <x:v>dpd_61_90_balance_delta_usd</x:v>
      </x:c>
      <x:c r="AV1" s="30" t="str">
        <x:v>dpd_61_90_count_exact</x:v>
      </x:c>
      <x:c r="AW1" s="30" t="str">
        <x:v>dpd_61_90_balance_exact</x:v>
      </x:c>
      <x:c r="AX1" s="30" t="str">
        <x:v>dpd_91_120_count_delta</x:v>
      </x:c>
      <x:c r="AY1" s="30" t="str">
        <x:v>dpd_91_120_balance_delta_usd</x:v>
      </x:c>
      <x:c r="AZ1" s="30" t="str">
        <x:v>dpd_91_120_count_exact</x:v>
      </x:c>
      <x:c r="BA1" s="30" t="str">
        <x:v>dpd_91_120_balance_exact</x:v>
      </x:c>
      <x:c r="BB1" s="30" t="str">
        <x:v>dpd_over_120_count_delta</x:v>
      </x:c>
      <x:c r="BC1" s="30" t="str">
        <x:v>dpd_over_120_balance_delta_usd</x:v>
      </x:c>
      <x:c r="BD1" s="30" t="str">
        <x:v>dpd_over_120_count_exact</x:v>
      </x:c>
      <x:c r="BE1" s="30" t="str">
        <x:v>dpd_over_120_balance_exact</x:v>
      </x:c>
      <x:c r="BF1" s="30" t="str">
        <x:v>focus_event_audit_present</x:v>
      </x:c>
      <x:c r="BG1" s="30" t="str">
        <x:v>asset_positive_chargeoff_row_count_focus</x:v>
      </x:c>
      <x:c r="BH1" s="30" t="str">
        <x:v>first_code4_repeated_count_focus</x:v>
      </x:c>
      <x:c r="BI1" s="30" t="str">
        <x:v>first_code4_repeated_amount_usd_focus</x:v>
      </x:c>
      <x:c r="BJ1" s="30" t="str">
        <x:v>first_code4_zero_amount_count_focus</x:v>
      </x:c>
      <x:c r="BK1" s="30" t="str">
        <x:v>positive_chargeoff_without_code4_count_focus</x:v>
      </x:c>
      <x:c r="BL1" s="30" t="str">
        <x:v>positive_recovery_row_months_with_prior_code4</x:v>
      </x:c>
      <x:c r="BM1" s="30" t="str">
        <x:v>positive_recovery_amount_on_prior_code4_assets_usd</x:v>
      </x:c>
      <x:c r="BN1" s="30" t="str">
        <x:v>negative_recovery_rows_focus</x:v>
      </x:c>
    </x:row>
    <x:row r="2" ht="24" customHeight="1">
      <x:c r="A2" s="32" t="str">
        <x:v>2024-10-31</x:v>
      </x:c>
      <x:c r="B2" s="32" t="str">
        <x:v>2024-10</x:v>
      </x:c>
      <x:c r="C2" s="32" t="str">
        <x:v>2024-10-23</x:v>
      </x:c>
      <x:c r="D2" s="32" t="str">
        <x:v>2024-10-31</x:v>
      </x:c>
      <x:c r="E2" s="35" t="str">
        <x:v>9</x:v>
      </x:c>
      <x:c r="F2" s="32" t="str">
        <x:v>0000950131-24-004632</x:v>
      </x:c>
      <x:c r="G2" s="32" t="str">
        <x:v>0001193125-24-264295</x:v>
      </x:c>
      <x:c r="H2" s="32" t="str">
        <x:v>https://www.sec.gov/Archives/edgar/data/2035264/000095013124004632/000095013124004632-index.html</x:v>
      </x:c>
      <x:c r="I2" s="32" t="str">
        <x:v>https://www.sec.gov/Archives/edgar/data/2035264/000119312524264295/d900783dex991.htm</x:v>
      </x:c>
      <x:c r="J2" s="34" t="n">
        <x:v>1348763165.82</x:v>
      </x:c>
      <x:c r="K2" s="34" t="n">
        <x:v>1348763165.82</x:v>
      </x:c>
      <x:c r="L2" s="34" t="n">
        <x:v>0</x:v>
      </x:c>
      <x:c r="M2" s="32" t="str">
        <x:v>TIED</x:v>
      </x:c>
      <x:c r="N2" s="35" t="n">
        <x:v>62914</x:v>
      </x:c>
      <x:c r="O2" s="35" t="n">
        <x:v>62914</x:v>
      </x:c>
      <x:c r="P2" s="32" t="str">
        <x:v>TIED</x:v>
      </x:c>
      <x:c r="Q2" s="35" t="n">
        <x:v>5</x:v>
      </x:c>
      <x:c r="R2" s="35" t="n">
        <x:v>5</x:v>
      </x:c>
      <x:c r="S2" s="34" t="n">
        <x:v>90158.92</x:v>
      </x:c>
      <x:c r="T2" s="34" t="n">
        <x:v>90158.92</x:v>
      </x:c>
      <x:c r="U2" s="32" t="str">
        <x:v>TIED</x:v>
      </x:c>
      <x:c r="V2" s="32" t="str">
        <x:v>TIED</x:v>
      </x:c>
      <x:c r="W2" s="35" t="n">
        <x:v>5</x:v>
      </x:c>
      <x:c r="X2" s="35" t="n">
        <x:v>5</x:v>
      </x:c>
      <x:c r="Y2" s="34" t="n">
        <x:v>90158.92</x:v>
      </x:c>
      <x:c r="Z2" s="32" t="str">
        <x:v>TIED</x:v>
      </x:c>
      <x:c r="AA2" s="32" t="str">
        <x:v>TIED</x:v>
      </x:c>
      <x:c r="AB2" s="34" t="n">
        <x:v>0</x:v>
      </x:c>
      <x:c r="AC2" s="34" t="n">
        <x:v>0</x:v>
      </x:c>
      <x:c r="AD2" s="34" t="n">
        <x:v>0</x:v>
      </x:c>
      <x:c r="AE2" s="34" t="n">
        <x:v>0</x:v>
      </x:c>
      <x:c r="AF2" s="32" t="str">
        <x:v>TIED</x:v>
      </x:c>
      <x:c r="AG2" s="32" t="str">
        <x:v>TIED</x:v>
      </x:c>
      <x:c r="AH2" s="34" t="n">
        <x:v>90158.92</x:v>
      </x:c>
      <x:c r="AI2" s="32" t="n">
        <x:v>0.08</x:v>
      </x:c>
      <x:c r="AJ2" s="34" t="n">
        <x:v>90158.92</x:v>
      </x:c>
      <x:c r="AK2" s="32" t="str">
        <x:v>TIED</x:v>
      </x:c>
      <x:c r="AL2" s="32" t="str">
        <x:v>TIED</x:v>
      </x:c>
      <x:c r="AM2" s="35" t="n">
        <x:v>8</x:v>
      </x:c>
      <x:c r="AN2" s="32" t="str">
        <x:v>8</x:v>
      </x:c>
      <x:c r="AO2" s="35" t="n">
        <x:v>4</x:v>
      </x:c>
      <x:c r="AP2" s="35" t="n">
        <x:v>0</x:v>
      </x:c>
      <x:c r="AQ2" s="34" t="n">
        <x:v>0</x:v>
      </x:c>
      <x:c r="AR2" s="32" t="str">
        <x:v>TIED</x:v>
      </x:c>
      <x:c r="AS2" s="32" t="str">
        <x:v>TIED</x:v>
      </x:c>
      <x:c r="AT2" s="35" t="n">
        <x:v>0</x:v>
      </x:c>
      <x:c r="AU2" s="34" t="n">
        <x:v>0</x:v>
      </x:c>
      <x:c r="AV2" s="32" t="str">
        <x:v>TIED</x:v>
      </x:c>
      <x:c r="AW2" s="32" t="str">
        <x:v>TIED</x:v>
      </x:c>
      <x:c r="AX2" s="35" t="n">
        <x:v>0</x:v>
      </x:c>
      <x:c r="AY2" s="34" t="n">
        <x:v>0</x:v>
      </x:c>
      <x:c r="AZ2" s="32" t="str">
        <x:v>TIED</x:v>
      </x:c>
      <x:c r="BA2" s="32" t="str">
        <x:v>TIED</x:v>
      </x:c>
      <x:c r="BB2" s="35" t="n">
        <x:v>0</x:v>
      </x:c>
      <x:c r="BC2" s="34" t="n">
        <x:v>0</x:v>
      </x:c>
      <x:c r="BD2" s="32" t="str">
        <x:v>TIED</x:v>
      </x:c>
      <x:c r="BE2" s="32" t="str">
        <x:v>TIED</x:v>
      </x:c>
      <x:c r="BF2" s="33" t="b">
        <x:v>0</x:v>
      </x:c>
      <x:c r="BG2" s="32"/>
      <x:c r="BH2" s="32"/>
      <x:c r="BI2" s="32"/>
      <x:c r="BJ2" s="32"/>
      <x:c r="BK2" s="32"/>
      <x:c r="BL2" s="32"/>
      <x:c r="BM2" s="34"/>
      <x:c r="BN2" s="32"/>
    </x:row>
    <x:row r="3" ht="24" customHeight="1">
      <x:c r="A3" s="32" t="str">
        <x:v>2024-11-30</x:v>
      </x:c>
      <x:c r="B3" s="32" t="str">
        <x:v>2024-11</x:v>
      </x:c>
      <x:c r="C3" s="32" t="str">
        <x:v>2024-11-01</x:v>
      </x:c>
      <x:c r="D3" s="32" t="str">
        <x:v>2024-11-30</x:v>
      </x:c>
      <x:c r="E3" s="35" t="str">
        <x:v>30</x:v>
      </x:c>
      <x:c r="F3" s="32" t="str">
        <x:v>0000950131-24-005071</x:v>
      </x:c>
      <x:c r="G3" s="32" t="str">
        <x:v>0001193125-24-283020</x:v>
      </x:c>
      <x:c r="H3" s="32" t="str">
        <x:v>https://www.sec.gov/Archives/edgar/data/2035264/000095013124005071/000095013124005071-index.html</x:v>
      </x:c>
      <x:c r="I3" s="32" t="str">
        <x:v>https://www.sec.gov/Archives/edgar/data/2035264/000119312524283020/d835910dex991.htm</x:v>
      </x:c>
      <x:c r="J3" s="34" t="n">
        <x:v>1301426711.8</x:v>
      </x:c>
      <x:c r="K3" s="34" t="n">
        <x:v>1301426711.8</x:v>
      </x:c>
      <x:c r="L3" s="34" t="n">
        <x:v>0</x:v>
      </x:c>
      <x:c r="M3" s="32" t="str">
        <x:v>TIED</x:v>
      </x:c>
      <x:c r="N3" s="35" t="n">
        <x:v>62140</x:v>
      </x:c>
      <x:c r="O3" s="35" t="n">
        <x:v>62140</x:v>
      </x:c>
      <x:c r="P3" s="32" t="str">
        <x:v>TIED</x:v>
      </x:c>
      <x:c r="Q3" s="35" t="n">
        <x:v>11</x:v>
      </x:c>
      <x:c r="R3" s="35" t="n">
        <x:v>11</x:v>
      </x:c>
      <x:c r="S3" s="34" t="n">
        <x:v>314944.9</x:v>
      </x:c>
      <x:c r="T3" s="34" t="n">
        <x:v>314944.9</x:v>
      </x:c>
      <x:c r="U3" s="32" t="str">
        <x:v>TIED</x:v>
      </x:c>
      <x:c r="V3" s="32" t="str">
        <x:v>TIED</x:v>
      </x:c>
      <x:c r="W3" s="35" t="n">
        <x:v>11</x:v>
      </x:c>
      <x:c r="X3" s="35" t="n">
        <x:v>11</x:v>
      </x:c>
      <x:c r="Y3" s="34" t="n">
        <x:v>314944.9</x:v>
      </x:c>
      <x:c r="Z3" s="32" t="str">
        <x:v>TIED</x:v>
      </x:c>
      <x:c r="AA3" s="32" t="str">
        <x:v>TIED</x:v>
      </x:c>
      <x:c r="AB3" s="34" t="n">
        <x:v>754.75</x:v>
      </x:c>
      <x:c r="AC3" s="34" t="n">
        <x:v>754.75</x:v>
      </x:c>
      <x:c r="AD3" s="34" t="n">
        <x:v>754.75</x:v>
      </x:c>
      <x:c r="AE3" s="34" t="n">
        <x:v>0</x:v>
      </x:c>
      <x:c r="AF3" s="32" t="str">
        <x:v>TIED</x:v>
      </x:c>
      <x:c r="AG3" s="32" t="str">
        <x:v>TIED</x:v>
      </x:c>
      <x:c r="AH3" s="34" t="n">
        <x:v>314190.15</x:v>
      </x:c>
      <x:c r="AI3" s="32" t="n">
        <x:v>0.28</x:v>
      </x:c>
      <x:c r="AJ3" s="34" t="n">
        <x:v>404349.07</x:v>
      </x:c>
      <x:c r="AK3" s="32" t="str">
        <x:v>TIED</x:v>
      </x:c>
      <x:c r="AL3" s="32" t="str">
        <x:v>TIED</x:v>
      </x:c>
      <x:c r="AM3" s="35" t="n">
        <x:v>8</x:v>
      </x:c>
      <x:c r="AN3" s="32" t="str">
        <x:v>8</x:v>
      </x:c>
      <x:c r="AO3" s="35" t="n">
        <x:v>4</x:v>
      </x:c>
      <x:c r="AP3" s="35" t="n">
        <x:v>0</x:v>
      </x:c>
      <x:c r="AQ3" s="34" t="n">
        <x:v>0</x:v>
      </x:c>
      <x:c r="AR3" s="32" t="str">
        <x:v>TIED</x:v>
      </x:c>
      <x:c r="AS3" s="32" t="str">
        <x:v>TIED</x:v>
      </x:c>
      <x:c r="AT3" s="35" t="n">
        <x:v>0</x:v>
      </x:c>
      <x:c r="AU3" s="34" t="n">
        <x:v>0</x:v>
      </x:c>
      <x:c r="AV3" s="32" t="str">
        <x:v>TIED</x:v>
      </x:c>
      <x:c r="AW3" s="32" t="str">
        <x:v>TIED</x:v>
      </x:c>
      <x:c r="AX3" s="35" t="n">
        <x:v>0</x:v>
      </x:c>
      <x:c r="AY3" s="34" t="n">
        <x:v>0</x:v>
      </x:c>
      <x:c r="AZ3" s="32" t="str">
        <x:v>TIED</x:v>
      </x:c>
      <x:c r="BA3" s="32" t="str">
        <x:v>TIED</x:v>
      </x:c>
      <x:c r="BB3" s="35" t="n">
        <x:v>0</x:v>
      </x:c>
      <x:c r="BC3" s="34" t="n">
        <x:v>0</x:v>
      </x:c>
      <x:c r="BD3" s="32" t="str">
        <x:v>TIED</x:v>
      </x:c>
      <x:c r="BE3" s="32" t="str">
        <x:v>TIED</x:v>
      </x:c>
      <x:c r="BF3" s="33" t="b">
        <x:v>0</x:v>
      </x:c>
      <x:c r="BG3" s="32"/>
      <x:c r="BH3" s="32"/>
      <x:c r="BI3" s="32"/>
      <x:c r="BJ3" s="32"/>
      <x:c r="BK3" s="32"/>
      <x:c r="BL3" s="32"/>
      <x:c r="BM3" s="34"/>
      <x:c r="BN3" s="32"/>
    </x:row>
    <x:row r="4" ht="24" customHeight="1">
      <x:c r="A4" s="32" t="str">
        <x:v>2024-12-31</x:v>
      </x:c>
      <x:c r="B4" s="32" t="str">
        <x:v>2024-12</x:v>
      </x:c>
      <x:c r="C4" s="32" t="str">
        <x:v>2024-12-01</x:v>
      </x:c>
      <x:c r="D4" s="32" t="str">
        <x:v>2024-12-31</x:v>
      </x:c>
      <x:c r="E4" s="35" t="str">
        <x:v>31</x:v>
      </x:c>
      <x:c r="F4" s="32" t="str">
        <x:v>0000950131-25-000358</x:v>
      </x:c>
      <x:c r="G4" s="32" t="str">
        <x:v>0001193125-25-012289</x:v>
      </x:c>
      <x:c r="H4" s="32" t="str">
        <x:v>https://www.sec.gov/Archives/edgar/data/2035264/000095013125000358/000095013125000358-index.html</x:v>
      </x:c>
      <x:c r="I4" s="32" t="str">
        <x:v>https://www.sec.gov/Archives/edgar/data/2035264/000119312525012289/d877777dex991.htm</x:v>
      </x:c>
      <x:c r="J4" s="34" t="n">
        <x:v>1251165413.1</x:v>
      </x:c>
      <x:c r="K4" s="34" t="n">
        <x:v>1251165413.1</x:v>
      </x:c>
      <x:c r="L4" s="34" t="n">
        <x:v>0</x:v>
      </x:c>
      <x:c r="M4" s="32" t="str">
        <x:v>TIED</x:v>
      </x:c>
      <x:c r="N4" s="35" t="n">
        <x:v>61190</x:v>
      </x:c>
      <x:c r="O4" s="35" t="n">
        <x:v>61190</x:v>
      </x:c>
      <x:c r="P4" s="32" t="str">
        <x:v>TIED</x:v>
      </x:c>
      <x:c r="Q4" s="35" t="n">
        <x:v>17</x:v>
      </x:c>
      <x:c r="R4" s="35" t="n">
        <x:v>17</x:v>
      </x:c>
      <x:c r="S4" s="34" t="n">
        <x:v>491356.78</x:v>
      </x:c>
      <x:c r="T4" s="34" t="n">
        <x:v>491356.78</x:v>
      </x:c>
      <x:c r="U4" s="32" t="str">
        <x:v>TIED</x:v>
      </x:c>
      <x:c r="V4" s="32" t="str">
        <x:v>TIED</x:v>
      </x:c>
      <x:c r="W4" s="35" t="n">
        <x:v>17</x:v>
      </x:c>
      <x:c r="X4" s="35" t="n">
        <x:v>17</x:v>
      </x:c>
      <x:c r="Y4" s="34" t="n">
        <x:v>491356.78</x:v>
      </x:c>
      <x:c r="Z4" s="32" t="str">
        <x:v>TIED</x:v>
      </x:c>
      <x:c r="AA4" s="32" t="str">
        <x:v>TIED</x:v>
      </x:c>
      <x:c r="AB4" s="34" t="n">
        <x:v>25270.57</x:v>
      </x:c>
      <x:c r="AC4" s="34" t="n">
        <x:v>25244.84</x:v>
      </x:c>
      <x:c r="AD4" s="34" t="n">
        <x:v>25244.84</x:v>
      </x:c>
      <x:c r="AE4" s="34" t="n">
        <x:v>25.73</x:v>
      </x:c>
      <x:c r="AF4" s="32" t="str">
        <x:v>MISMATCH</x:v>
      </x:c>
      <x:c r="AG4" s="32" t="str">
        <x:v>MISMATCH</x:v>
      </x:c>
      <x:c r="AH4" s="34" t="n">
        <x:v>466111.94</x:v>
      </x:c>
      <x:c r="AI4" s="32" t="n">
        <x:v>0.43</x:v>
      </x:c>
      <x:c r="AJ4" s="34" t="n">
        <x:v>870461.01</x:v>
      </x:c>
      <x:c r="AK4" s="32" t="str">
        <x:v>TIED</x:v>
      </x:c>
      <x:c r="AL4" s="32" t="str">
        <x:v>TIED</x:v>
      </x:c>
      <x:c r="AM4" s="35" t="n">
        <x:v>8</x:v>
      </x:c>
      <x:c r="AN4" s="32" t="str">
        <x:v>8</x:v>
      </x:c>
      <x:c r="AO4" s="35" t="n">
        <x:v>8</x:v>
      </x:c>
      <x:c r="AP4" s="35" t="n">
        <x:v>0</x:v>
      </x:c>
      <x:c r="AQ4" s="34" t="n">
        <x:v>0</x:v>
      </x:c>
      <x:c r="AR4" s="32" t="str">
        <x:v>TIED</x:v>
      </x:c>
      <x:c r="AS4" s="32" t="str">
        <x:v>TIED</x:v>
      </x:c>
      <x:c r="AT4" s="35" t="n">
        <x:v>0</x:v>
      </x:c>
      <x:c r="AU4" s="34" t="n">
        <x:v>0</x:v>
      </x:c>
      <x:c r="AV4" s="32" t="str">
        <x:v>TIED</x:v>
      </x:c>
      <x:c r="AW4" s="32" t="str">
        <x:v>TIED</x:v>
      </x:c>
      <x:c r="AX4" s="35" t="n">
        <x:v>0</x:v>
      </x:c>
      <x:c r="AY4" s="34" t="n">
        <x:v>0</x:v>
      </x:c>
      <x:c r="AZ4" s="32" t="str">
        <x:v>TIED</x:v>
      </x:c>
      <x:c r="BA4" s="32" t="str">
        <x:v>TIED</x:v>
      </x:c>
      <x:c r="BB4" s="35" t="n">
        <x:v>0</x:v>
      </x:c>
      <x:c r="BC4" s="34" t="n">
        <x:v>0</x:v>
      </x:c>
      <x:c r="BD4" s="32" t="str">
        <x:v>TIED</x:v>
      </x:c>
      <x:c r="BE4" s="32" t="str">
        <x:v>TIED</x:v>
      </x:c>
      <x:c r="BF4" s="33" t="b">
        <x:v>0</x:v>
      </x:c>
      <x:c r="BG4" s="32"/>
      <x:c r="BH4" s="32"/>
      <x:c r="BI4" s="32"/>
      <x:c r="BJ4" s="32"/>
      <x:c r="BK4" s="32"/>
      <x:c r="BL4" s="32" t="n">
        <x:v>6</x:v>
      </x:c>
      <x:c r="BM4" s="34" t="n">
        <x:v>25270.57</x:v>
      </x:c>
      <x:c r="BN4" s="32" t="str">
        <x:v>0</x:v>
      </x:c>
    </x:row>
    <x:row r="5" ht="24" customHeight="1">
      <x:c r="A5" s="32" t="str">
        <x:v>2025-01-31</x:v>
      </x:c>
      <x:c r="B5" s="32" t="str">
        <x:v>2025-01</x:v>
      </x:c>
      <x:c r="C5" s="32" t="str">
        <x:v>2025-01-01</x:v>
      </x:c>
      <x:c r="D5" s="32" t="str">
        <x:v>2025-01-31</x:v>
      </x:c>
      <x:c r="E5" s="35" t="str">
        <x:v>31</x:v>
      </x:c>
      <x:c r="F5" s="32" t="str">
        <x:v>0000950131-25-000784</x:v>
      </x:c>
      <x:c r="G5" s="32" t="str">
        <x:v>0001193125-25-034940</x:v>
      </x:c>
      <x:c r="H5" s="32" t="str">
        <x:v>https://www.sec.gov/Archives/edgar/data/2035264/000095013125000784/000095013125000784-index.html</x:v>
      </x:c>
      <x:c r="I5" s="32" t="str">
        <x:v>https://www.sec.gov/Archives/edgar/data/2035264/000119312525034940/d804532dex991.htm</x:v>
      </x:c>
      <x:c r="J5" s="34" t="n">
        <x:v>1199945818.15</x:v>
      </x:c>
      <x:c r="K5" s="34" t="n">
        <x:v>1199945818.15</x:v>
      </x:c>
      <x:c r="L5" s="34" t="n">
        <x:v>0</x:v>
      </x:c>
      <x:c r="M5" s="32" t="str">
        <x:v>TIED</x:v>
      </x:c>
      <x:c r="N5" s="35" t="n">
        <x:v>59929</x:v>
      </x:c>
      <x:c r="O5" s="35" t="n">
        <x:v>59929</x:v>
      </x:c>
      <x:c r="P5" s="32" t="str">
        <x:v>TIED</x:v>
      </x:c>
      <x:c r="Q5" s="35" t="n">
        <x:v>30</x:v>
      </x:c>
      <x:c r="R5" s="35" t="n">
        <x:v>31</x:v>
      </x:c>
      <x:c r="S5" s="34" t="n">
        <x:v>704133.82</x:v>
      </x:c>
      <x:c r="T5" s="34" t="n">
        <x:v>704133.82</x:v>
      </x:c>
      <x:c r="U5" s="32" t="str">
        <x:v>MISMATCH</x:v>
      </x:c>
      <x:c r="V5" s="32" t="str">
        <x:v>TIED</x:v>
      </x:c>
      <x:c r="W5" s="35" t="n">
        <x:v>31</x:v>
      </x:c>
      <x:c r="X5" s="35" t="n">
        <x:v>30</x:v>
      </x:c>
      <x:c r="Y5" s="34" t="n">
        <x:v>704133.82</x:v>
      </x:c>
      <x:c r="Z5" s="32" t="str">
        <x:v>TIED</x:v>
      </x:c>
      <x:c r="AA5" s="32" t="str">
        <x:v>TIED</x:v>
      </x:c>
      <x:c r="AB5" s="34" t="n">
        <x:v>254690.54</x:v>
      </x:c>
      <x:c r="AC5" s="34" t="n">
        <x:v>254542.68</x:v>
      </x:c>
      <x:c r="AD5" s="34" t="n">
        <x:v>254542.68</x:v>
      </x:c>
      <x:c r="AE5" s="34" t="n">
        <x:v>147.86</x:v>
      </x:c>
      <x:c r="AF5" s="32" t="str">
        <x:v>MISMATCH</x:v>
      </x:c>
      <x:c r="AG5" s="32" t="str">
        <x:v>MISMATCH</x:v>
      </x:c>
      <x:c r="AH5" s="34" t="n">
        <x:v>449591.14</x:v>
      </x:c>
      <x:c r="AI5" s="32" t="n">
        <x:v>0.43</x:v>
      </x:c>
      <x:c r="AJ5" s="34" t="n">
        <x:v>1320052.15</x:v>
      </x:c>
      <x:c r="AK5" s="32" t="str">
        <x:v>TIED</x:v>
      </x:c>
      <x:c r="AL5" s="32" t="str">
        <x:v>TIED</x:v>
      </x:c>
      <x:c r="AM5" s="35" t="n">
        <x:v>8</x:v>
      </x:c>
      <x:c r="AN5" s="32" t="str">
        <x:v>8</x:v>
      </x:c>
      <x:c r="AO5" s="35" t="n">
        <x:v>2</x:v>
      </x:c>
      <x:c r="AP5" s="35" t="n">
        <x:v>0</x:v>
      </x:c>
      <x:c r="AQ5" s="34" t="n">
        <x:v>0</x:v>
      </x:c>
      <x:c r="AR5" s="32" t="str">
        <x:v>TIED</x:v>
      </x:c>
      <x:c r="AS5" s="32" t="str">
        <x:v>TIED</x:v>
      </x:c>
      <x:c r="AT5" s="35" t="n">
        <x:v>0</x:v>
      </x:c>
      <x:c r="AU5" s="34" t="n">
        <x:v>0</x:v>
      </x:c>
      <x:c r="AV5" s="32" t="str">
        <x:v>TIED</x:v>
      </x:c>
      <x:c r="AW5" s="32" t="str">
        <x:v>TIED</x:v>
      </x:c>
      <x:c r="AX5" s="35" t="n">
        <x:v>0</x:v>
      </x:c>
      <x:c r="AY5" s="34" t="n">
        <x:v>0</x:v>
      </x:c>
      <x:c r="AZ5" s="32" t="str">
        <x:v>TIED</x:v>
      </x:c>
      <x:c r="BA5" s="32" t="str">
        <x:v>TIED</x:v>
      </x:c>
      <x:c r="BB5" s="35" t="n">
        <x:v>0</x:v>
      </x:c>
      <x:c r="BC5" s="34" t="n">
        <x:v>0</x:v>
      </x:c>
      <x:c r="BD5" s="32" t="str">
        <x:v>TIED</x:v>
      </x:c>
      <x:c r="BE5" s="32" t="str">
        <x:v>TIED</x:v>
      </x:c>
      <x:c r="BF5" s="33" t="b">
        <x:v>1</x:v>
      </x:c>
      <x:c r="BG5" s="32" t="n">
        <x:v>30</x:v>
      </x:c>
      <x:c r="BH5" s="32" t="n">
        <x:v>0</x:v>
      </x:c>
      <x:c r="BI5" s="32" t="str">
        <x:v>0</x:v>
      </x:c>
      <x:c r="BJ5" s="32" t="n">
        <x:v>1</x:v>
      </x:c>
      <x:c r="BK5" s="32" t="n">
        <x:v>0</x:v>
      </x:c>
      <x:c r="BL5" s="32" t="n">
        <x:v>20</x:v>
      </x:c>
      <x:c r="BM5" s="34" t="n">
        <x:v>254690.54</x:v>
      </x:c>
      <x:c r="BN5" s="32" t="str">
        <x:v>0</x:v>
      </x:c>
    </x:row>
    <x:row r="6" ht="24" customHeight="1">
      <x:c r="A6" s="32" t="str">
        <x:v>2025-02-28</x:v>
      </x:c>
      <x:c r="B6" s="32" t="str">
        <x:v>2025-02</x:v>
      </x:c>
      <x:c r="C6" s="32" t="str">
        <x:v>2025-02-01</x:v>
      </x:c>
      <x:c r="D6" s="32" t="str">
        <x:v>2025-02-28</x:v>
      </x:c>
      <x:c r="E6" s="35" t="str">
        <x:v>28</x:v>
      </x:c>
      <x:c r="F6" s="32" t="str">
        <x:v>0000950131-25-001234</x:v>
      </x:c>
      <x:c r="G6" s="32" t="str">
        <x:v>0001193125-25-063904</x:v>
      </x:c>
      <x:c r="H6" s="32" t="str">
        <x:v>https://www.sec.gov/Archives/edgar/data/2035264/000095013125001234/000095013125001234-index.html</x:v>
      </x:c>
      <x:c r="I6" s="32" t="str">
        <x:v>https://www.sec.gov/Archives/edgar/data/2035264/000119312525063904/d673392dex991.htm</x:v>
      </x:c>
      <x:c r="J6" s="34" t="n">
        <x:v>1154694747.06</x:v>
      </x:c>
      <x:c r="K6" s="34" t="n">
        <x:v>1154694747.06</x:v>
      </x:c>
      <x:c r="L6" s="34" t="n">
        <x:v>0</x:v>
      </x:c>
      <x:c r="M6" s="32" t="str">
        <x:v>TIED</x:v>
      </x:c>
      <x:c r="N6" s="35" t="n">
        <x:v>58478</x:v>
      </x:c>
      <x:c r="O6" s="35" t="n">
        <x:v>58478</x:v>
      </x:c>
      <x:c r="P6" s="32" t="str">
        <x:v>TIED</x:v>
      </x:c>
      <x:c r="Q6" s="35" t="n">
        <x:v>35</x:v>
      </x:c>
      <x:c r="R6" s="35" t="n">
        <x:v>37</x:v>
      </x:c>
      <x:c r="S6" s="34" t="n">
        <x:v>939798.68</x:v>
      </x:c>
      <x:c r="T6" s="34" t="n">
        <x:v>939754.02</x:v>
      </x:c>
      <x:c r="U6" s="32" t="str">
        <x:v>MISMATCH</x:v>
      </x:c>
      <x:c r="V6" s="32" t="str">
        <x:v>MISMATCH</x:v>
      </x:c>
      <x:c r="W6" s="35" t="n">
        <x:v>37</x:v>
      </x:c>
      <x:c r="X6" s="35" t="n">
        <x:v>35</x:v>
      </x:c>
      <x:c r="Y6" s="34" t="n">
        <x:v>939798.68</x:v>
      </x:c>
      <x:c r="Z6" s="32" t="str">
        <x:v>TIED</x:v>
      </x:c>
      <x:c r="AA6" s="32" t="str">
        <x:v>MISMATCH</x:v>
      </x:c>
      <x:c r="AB6" s="34" t="n">
        <x:v>164618.8</x:v>
      </x:c>
      <x:c r="AC6" s="34" t="n">
        <x:v>164393.82</x:v>
      </x:c>
      <x:c r="AD6" s="34" t="n">
        <x:v>164393.82</x:v>
      </x:c>
      <x:c r="AE6" s="34" t="n">
        <x:v>224.98</x:v>
      </x:c>
      <x:c r="AF6" s="32" t="str">
        <x:v>MISMATCH</x:v>
      </x:c>
      <x:c r="AG6" s="32" t="str">
        <x:v>MISMATCH</x:v>
      </x:c>
      <x:c r="AH6" s="34" t="n">
        <x:v>775360.2</x:v>
      </x:c>
      <x:c r="AI6" s="32" t="n">
        <x:v>0.78</x:v>
      </x:c>
      <x:c r="AJ6" s="34" t="n">
        <x:v>2095412.35</x:v>
      </x:c>
      <x:c r="AK6" s="32" t="str">
        <x:v>TIED</x:v>
      </x:c>
      <x:c r="AL6" s="32" t="str">
        <x:v>TIED</x:v>
      </x:c>
      <x:c r="AM6" s="35" t="n">
        <x:v>8</x:v>
      </x:c>
      <x:c r="AN6" s="32" t="str">
        <x:v>8</x:v>
      </x:c>
      <x:c r="AO6" s="35" t="n">
        <x:v>4</x:v>
      </x:c>
      <x:c r="AP6" s="35" t="n">
        <x:v>0</x:v>
      </x:c>
      <x:c r="AQ6" s="34" t="n">
        <x:v>0</x:v>
      </x:c>
      <x:c r="AR6" s="32" t="str">
        <x:v>TIED</x:v>
      </x:c>
      <x:c r="AS6" s="32" t="str">
        <x:v>TIED</x:v>
      </x:c>
      <x:c r="AT6" s="35" t="n">
        <x:v>0</x:v>
      </x:c>
      <x:c r="AU6" s="34" t="n">
        <x:v>0</x:v>
      </x:c>
      <x:c r="AV6" s="32" t="str">
        <x:v>TIED</x:v>
      </x:c>
      <x:c r="AW6" s="32" t="str">
        <x:v>TIED</x:v>
      </x:c>
      <x:c r="AX6" s="35" t="n">
        <x:v>0</x:v>
      </x:c>
      <x:c r="AY6" s="34" t="n">
        <x:v>0</x:v>
      </x:c>
      <x:c r="AZ6" s="32" t="str">
        <x:v>TIED</x:v>
      </x:c>
      <x:c r="BA6" s="32" t="str">
        <x:v>TIED</x:v>
      </x:c>
      <x:c r="BB6" s="35" t="n">
        <x:v>0</x:v>
      </x:c>
      <x:c r="BC6" s="34" t="n">
        <x:v>0</x:v>
      </x:c>
      <x:c r="BD6" s="32" t="str">
        <x:v>TIED</x:v>
      </x:c>
      <x:c r="BE6" s="32" t="str">
        <x:v>TIED</x:v>
      </x:c>
      <x:c r="BF6" s="33" t="b">
        <x:v>1</x:v>
      </x:c>
      <x:c r="BG6" s="32" t="n">
        <x:v>35</x:v>
      </x:c>
      <x:c r="BH6" s="32" t="n">
        <x:v>0</x:v>
      </x:c>
      <x:c r="BI6" s="32" t="str">
        <x:v>0</x:v>
      </x:c>
      <x:c r="BJ6" s="32" t="n">
        <x:v>2</x:v>
      </x:c>
      <x:c r="BK6" s="32" t="n">
        <x:v>0</x:v>
      </x:c>
      <x:c r="BL6" s="32" t="n">
        <x:v>26</x:v>
      </x:c>
      <x:c r="BM6" s="34" t="n">
        <x:v>164618.8</x:v>
      </x:c>
      <x:c r="BN6" s="32" t="str">
        <x:v>0</x:v>
      </x:c>
    </x:row>
    <x:row r="7" ht="24" customHeight="1">
      <x:c r="A7" s="32" t="str">
        <x:v>2025-03-31</x:v>
      </x:c>
      <x:c r="B7" s="32" t="str">
        <x:v>2025-03</x:v>
      </x:c>
      <x:c r="C7" s="32" t="str">
        <x:v>2025-03-01</x:v>
      </x:c>
      <x:c r="D7" s="32" t="str">
        <x:v>2025-03-31</x:v>
      </x:c>
      <x:c r="E7" s="35" t="str">
        <x:v>31</x:v>
      </x:c>
      <x:c r="F7" s="32" t="str">
        <x:v>0000950131-25-001750</x:v>
      </x:c>
      <x:c r="G7" s="32" t="str">
        <x:v>0001193125-25-095726</x:v>
      </x:c>
      <x:c r="H7" s="32" t="str">
        <x:v>https://www.sec.gov/Archives/edgar/data/2035264/000095013125001750/000095013125001750-index.html</x:v>
      </x:c>
      <x:c r="I7" s="32" t="str">
        <x:v>https://www.sec.gov/Archives/edgar/data/2035264/000119312525095726/d926006dex991.htm</x:v>
      </x:c>
      <x:c r="J7" s="34" t="n">
        <x:v>1103465315.86</x:v>
      </x:c>
      <x:c r="K7" s="34" t="n">
        <x:v>1103465315.86</x:v>
      </x:c>
      <x:c r="L7" s="34" t="n">
        <x:v>0</x:v>
      </x:c>
      <x:c r="M7" s="32" t="str">
        <x:v>TIED</x:v>
      </x:c>
      <x:c r="N7" s="35" t="n">
        <x:v>56814</x:v>
      </x:c>
      <x:c r="O7" s="35" t="n">
        <x:v>56814</x:v>
      </x:c>
      <x:c r="P7" s="32" t="str">
        <x:v>TIED</x:v>
      </x:c>
      <x:c r="Q7" s="35" t="n">
        <x:v>32</x:v>
      </x:c>
      <x:c r="R7" s="35" t="n">
        <x:v>32</x:v>
      </x:c>
      <x:c r="S7" s="34" t="n">
        <x:v>712220.89</x:v>
      </x:c>
      <x:c r="T7" s="34" t="n">
        <x:v>712220.89</x:v>
      </x:c>
      <x:c r="U7" s="32" t="str">
        <x:v>TIED</x:v>
      </x:c>
      <x:c r="V7" s="32" t="str">
        <x:v>TIED</x:v>
      </x:c>
      <x:c r="W7" s="35" t="n">
        <x:v>32</x:v>
      </x:c>
      <x:c r="X7" s="35" t="n">
        <x:v>32</x:v>
      </x:c>
      <x:c r="Y7" s="34" t="n">
        <x:v>712220.89</x:v>
      </x:c>
      <x:c r="Z7" s="32" t="str">
        <x:v>TIED</x:v>
      </x:c>
      <x:c r="AA7" s="32" t="str">
        <x:v>TIED</x:v>
      </x:c>
      <x:c r="AB7" s="34" t="n">
        <x:v>582297.29</x:v>
      </x:c>
      <x:c r="AC7" s="34" t="n">
        <x:v>576703.4</x:v>
      </x:c>
      <x:c r="AD7" s="34" t="n">
        <x:v>576703.4</x:v>
      </x:c>
      <x:c r="AE7" s="34" t="n">
        <x:v>5593.89</x:v>
      </x:c>
      <x:c r="AF7" s="32" t="str">
        <x:v>MISMATCH</x:v>
      </x:c>
      <x:c r="AG7" s="32" t="str">
        <x:v>MISMATCH</x:v>
      </x:c>
      <x:c r="AH7" s="34" t="n">
        <x:v>135517.49</x:v>
      </x:c>
      <x:c r="AI7" s="32" t="n">
        <x:v>0.14</x:v>
      </x:c>
      <x:c r="AJ7" s="34" t="n">
        <x:v>2230929.84</x:v>
      </x:c>
      <x:c r="AK7" s="32" t="str">
        <x:v>TIED</x:v>
      </x:c>
      <x:c r="AL7" s="32" t="str">
        <x:v>TIED</x:v>
      </x:c>
      <x:c r="AM7" s="35" t="n">
        <x:v>8</x:v>
      </x:c>
      <x:c r="AN7" s="32" t="str">
        <x:v>8</x:v>
      </x:c>
      <x:c r="AO7" s="35" t="n">
        <x:v>4</x:v>
      </x:c>
      <x:c r="AP7" s="35" t="n">
        <x:v>0</x:v>
      </x:c>
      <x:c r="AQ7" s="34" t="n">
        <x:v>0</x:v>
      </x:c>
      <x:c r="AR7" s="32" t="str">
        <x:v>TIED</x:v>
      </x:c>
      <x:c r="AS7" s="32" t="str">
        <x:v>TIED</x:v>
      </x:c>
      <x:c r="AT7" s="35" t="n">
        <x:v>0</x:v>
      </x:c>
      <x:c r="AU7" s="34" t="n">
        <x:v>0</x:v>
      </x:c>
      <x:c r="AV7" s="32" t="str">
        <x:v>TIED</x:v>
      </x:c>
      <x:c r="AW7" s="32" t="str">
        <x:v>TIED</x:v>
      </x:c>
      <x:c r="AX7" s="35" t="n">
        <x:v>0</x:v>
      </x:c>
      <x:c r="AY7" s="34" t="n">
        <x:v>0</x:v>
      </x:c>
      <x:c r="AZ7" s="32" t="str">
        <x:v>TIED</x:v>
      </x:c>
      <x:c r="BA7" s="32" t="str">
        <x:v>TIED</x:v>
      </x:c>
      <x:c r="BB7" s="35" t="n">
        <x:v>0</x:v>
      </x:c>
      <x:c r="BC7" s="34" t="n">
        <x:v>0</x:v>
      </x:c>
      <x:c r="BD7" s="32" t="str">
        <x:v>TIED</x:v>
      </x:c>
      <x:c r="BE7" s="32" t="str">
        <x:v>TIED</x:v>
      </x:c>
      <x:c r="BF7" s="33" t="b">
        <x:v>0</x:v>
      </x:c>
      <x:c r="BG7" s="32"/>
      <x:c r="BH7" s="32"/>
      <x:c r="BI7" s="32"/>
      <x:c r="BJ7" s="32"/>
      <x:c r="BK7" s="32"/>
      <x:c r="BL7" s="32" t="n">
        <x:v>57</x:v>
      </x:c>
      <x:c r="BM7" s="34" t="n">
        <x:v>582297.29</x:v>
      </x:c>
      <x:c r="BN7" s="32" t="str">
        <x:v>0</x:v>
      </x:c>
    </x:row>
    <x:row r="8" ht="24" customHeight="1">
      <x:c r="A8" s="32" t="str">
        <x:v>2025-04-30</x:v>
      </x:c>
      <x:c r="B8" s="32" t="str">
        <x:v>2025-04</x:v>
      </x:c>
      <x:c r="C8" s="32" t="str">
        <x:v>2025-04-01</x:v>
      </x:c>
      <x:c r="D8" s="32" t="str">
        <x:v>2025-04-30</x:v>
      </x:c>
      <x:c r="E8" s="35" t="str">
        <x:v>30</x:v>
      </x:c>
      <x:c r="F8" s="32" t="str">
        <x:v>0000950131-25-002164</x:v>
      </x:c>
      <x:c r="G8" s="32" t="str">
        <x:v>0001193125-25-127141</x:v>
      </x:c>
      <x:c r="H8" s="32" t="str">
        <x:v>https://www.sec.gov/Archives/edgar/data/2035264/000095013125002164/000095013125002164-index.html</x:v>
      </x:c>
      <x:c r="I8" s="32" t="str">
        <x:v>https://www.sec.gov/Archives/edgar/data/2035264/000119312525127141/d930296dex991.htm</x:v>
      </x:c>
      <x:c r="J8" s="34" t="n">
        <x:v>1054161963.93</x:v>
      </x:c>
      <x:c r="K8" s="34" t="n">
        <x:v>1054161963.93</x:v>
      </x:c>
      <x:c r="L8" s="34" t="n">
        <x:v>0</x:v>
      </x:c>
      <x:c r="M8" s="32" t="str">
        <x:v>TIED</x:v>
      </x:c>
      <x:c r="N8" s="35" t="n">
        <x:v>55486</x:v>
      </x:c>
      <x:c r="O8" s="35" t="n">
        <x:v>55486</x:v>
      </x:c>
      <x:c r="P8" s="32" t="str">
        <x:v>TIED</x:v>
      </x:c>
      <x:c r="Q8" s="35" t="n">
        <x:v>24</x:v>
      </x:c>
      <x:c r="R8" s="35" t="n">
        <x:v>24</x:v>
      </x:c>
      <x:c r="S8" s="34" t="n">
        <x:v>500582.97</x:v>
      </x:c>
      <x:c r="T8" s="34" t="n">
        <x:v>500582.97</x:v>
      </x:c>
      <x:c r="U8" s="32" t="str">
        <x:v>TIED</x:v>
      </x:c>
      <x:c r="V8" s="32" t="str">
        <x:v>TIED</x:v>
      </x:c>
      <x:c r="W8" s="35" t="n">
        <x:v>24</x:v>
      </x:c>
      <x:c r="X8" s="35" t="n">
        <x:v>24</x:v>
      </x:c>
      <x:c r="Y8" s="34" t="n">
        <x:v>500582.97</x:v>
      </x:c>
      <x:c r="Z8" s="32" t="str">
        <x:v>TIED</x:v>
      </x:c>
      <x:c r="AA8" s="32" t="str">
        <x:v>TIED</x:v>
      </x:c>
      <x:c r="AB8" s="34" t="n">
        <x:v>370616.12</x:v>
      </x:c>
      <x:c r="AC8" s="34" t="n">
        <x:v>369451.11</x:v>
      </x:c>
      <x:c r="AD8" s="34" t="n">
        <x:v>369451.11</x:v>
      </x:c>
      <x:c r="AE8" s="34" t="n">
        <x:v>1165.01</x:v>
      </x:c>
      <x:c r="AF8" s="32" t="str">
        <x:v>MISMATCH</x:v>
      </x:c>
      <x:c r="AG8" s="32" t="str">
        <x:v>MISMATCH</x:v>
      </x:c>
      <x:c r="AH8" s="34" t="n">
        <x:v>131131.86</x:v>
      </x:c>
      <x:c r="AI8" s="32" t="n">
        <x:v>0.14</x:v>
      </x:c>
      <x:c r="AJ8" s="34" t="n">
        <x:v>2362061.7</x:v>
      </x:c>
      <x:c r="AK8" s="32" t="str">
        <x:v>TIED</x:v>
      </x:c>
      <x:c r="AL8" s="32" t="str">
        <x:v>TIED</x:v>
      </x:c>
      <x:c r="AM8" s="35" t="n">
        <x:v>8</x:v>
      </x:c>
      <x:c r="AN8" s="32" t="str">
        <x:v>8</x:v>
      </x:c>
      <x:c r="AO8" s="35" t="n">
        <x:v>4</x:v>
      </x:c>
      <x:c r="AP8" s="35" t="n">
        <x:v>0</x:v>
      </x:c>
      <x:c r="AQ8" s="34" t="n">
        <x:v>0</x:v>
      </x:c>
      <x:c r="AR8" s="32" t="str">
        <x:v>TIED</x:v>
      </x:c>
      <x:c r="AS8" s="32" t="str">
        <x:v>TIED</x:v>
      </x:c>
      <x:c r="AT8" s="35" t="n">
        <x:v>0</x:v>
      </x:c>
      <x:c r="AU8" s="34" t="n">
        <x:v>0</x:v>
      </x:c>
      <x:c r="AV8" s="32" t="str">
        <x:v>TIED</x:v>
      </x:c>
      <x:c r="AW8" s="32" t="str">
        <x:v>TIED</x:v>
      </x:c>
      <x:c r="AX8" s="35" t="n">
        <x:v>0</x:v>
      </x:c>
      <x:c r="AY8" s="34" t="n">
        <x:v>0</x:v>
      </x:c>
      <x:c r="AZ8" s="32" t="str">
        <x:v>TIED</x:v>
      </x:c>
      <x:c r="BA8" s="32" t="str">
        <x:v>TIED</x:v>
      </x:c>
      <x:c r="BB8" s="35" t="n">
        <x:v>0</x:v>
      </x:c>
      <x:c r="BC8" s="34" t="n">
        <x:v>0</x:v>
      </x:c>
      <x:c r="BD8" s="32" t="str">
        <x:v>TIED</x:v>
      </x:c>
      <x:c r="BE8" s="32" t="str">
        <x:v>TIED</x:v>
      </x:c>
      <x:c r="BF8" s="33" t="b">
        <x:v>0</x:v>
      </x:c>
      <x:c r="BG8" s="32"/>
      <x:c r="BH8" s="32"/>
      <x:c r="BI8" s="32"/>
      <x:c r="BJ8" s="32"/>
      <x:c r="BK8" s="32"/>
      <x:c r="BL8" s="32" t="n">
        <x:v>52</x:v>
      </x:c>
      <x:c r="BM8" s="34" t="n">
        <x:v>370616.12</x:v>
      </x:c>
      <x:c r="BN8" s="32" t="str">
        <x:v>0</x:v>
      </x:c>
    </x:row>
    <x:row r="9" ht="24" customHeight="1">
      <x:c r="A9" s="32" t="str">
        <x:v>2025-05-31</x:v>
      </x:c>
      <x:c r="B9" s="32" t="str">
        <x:v>2025-05</x:v>
      </x:c>
      <x:c r="C9" s="32" t="str">
        <x:v>2025-05-01</x:v>
      </x:c>
      <x:c r="D9" s="32" t="str">
        <x:v>2025-05-31</x:v>
      </x:c>
      <x:c r="E9" s="35" t="str">
        <x:v>31</x:v>
      </x:c>
      <x:c r="F9" s="32" t="str">
        <x:v>0000950131-25-002597</x:v>
      </x:c>
      <x:c r="G9" s="32" t="str">
        <x:v>0001193125-25-148626</x:v>
      </x:c>
      <x:c r="H9" s="32" t="str">
        <x:v>https://www.sec.gov/Archives/edgar/data/2035264/000095013125002597/000095013125002597-index.html</x:v>
      </x:c>
      <x:c r="I9" s="32" t="str">
        <x:v>https://www.sec.gov/Archives/edgar/data/2035264/000119312525148626/d24586dex991.htm</x:v>
      </x:c>
      <x:c r="J9" s="34" t="n">
        <x:v>1007456844.6</x:v>
      </x:c>
      <x:c r="K9" s="34" t="n">
        <x:v>1007456844.6</x:v>
      </x:c>
      <x:c r="L9" s="34" t="n">
        <x:v>0</x:v>
      </x:c>
      <x:c r="M9" s="32" t="str">
        <x:v>TIED</x:v>
      </x:c>
      <x:c r="N9" s="35" t="n">
        <x:v>54286</x:v>
      </x:c>
      <x:c r="O9" s="35" t="n">
        <x:v>54286</x:v>
      </x:c>
      <x:c r="P9" s="32" t="str">
        <x:v>TIED</x:v>
      </x:c>
      <x:c r="Q9" s="35" t="n">
        <x:v>31</x:v>
      </x:c>
      <x:c r="R9" s="35" t="n">
        <x:v>31</x:v>
      </x:c>
      <x:c r="S9" s="34" t="n">
        <x:v>744363.17</x:v>
      </x:c>
      <x:c r="T9" s="34" t="n">
        <x:v>744363.17</x:v>
      </x:c>
      <x:c r="U9" s="32" t="str">
        <x:v>TIED</x:v>
      </x:c>
      <x:c r="V9" s="32" t="str">
        <x:v>TIED</x:v>
      </x:c>
      <x:c r="W9" s="35" t="n">
        <x:v>31</x:v>
      </x:c>
      <x:c r="X9" s="35" t="n">
        <x:v>31</x:v>
      </x:c>
      <x:c r="Y9" s="34" t="n">
        <x:v>744363.17</x:v>
      </x:c>
      <x:c r="Z9" s="32" t="str">
        <x:v>TIED</x:v>
      </x:c>
      <x:c r="AA9" s="32" t="str">
        <x:v>TIED</x:v>
      </x:c>
      <x:c r="AB9" s="34" t="n">
        <x:v>354135.17</x:v>
      </x:c>
      <x:c r="AC9" s="34" t="n">
        <x:v>352433.41</x:v>
      </x:c>
      <x:c r="AD9" s="34" t="n">
        <x:v>352433.41</x:v>
      </x:c>
      <x:c r="AE9" s="34" t="n">
        <x:v>1701.76</x:v>
      </x:c>
      <x:c r="AF9" s="32" t="str">
        <x:v>MISMATCH</x:v>
      </x:c>
      <x:c r="AG9" s="32" t="str">
        <x:v>MISMATCH</x:v>
      </x:c>
      <x:c r="AH9" s="34" t="n">
        <x:v>391929.76</x:v>
      </x:c>
      <x:c r="AI9" s="32" t="n">
        <x:v>0.45</x:v>
      </x:c>
      <x:c r="AJ9" s="34" t="n">
        <x:v>2753991.46</x:v>
      </x:c>
      <x:c r="AK9" s="32" t="str">
        <x:v>TIED</x:v>
      </x:c>
      <x:c r="AL9" s="32" t="str">
        <x:v>TIED</x:v>
      </x:c>
      <x:c r="AM9" s="35" t="n">
        <x:v>8</x:v>
      </x:c>
      <x:c r="AN9" s="32" t="str">
        <x:v>8</x:v>
      </x:c>
      <x:c r="AO9" s="35" t="n">
        <x:v>4</x:v>
      </x:c>
      <x:c r="AP9" s="35" t="n">
        <x:v>0</x:v>
      </x:c>
      <x:c r="AQ9" s="34" t="n">
        <x:v>0</x:v>
      </x:c>
      <x:c r="AR9" s="32" t="str">
        <x:v>TIED</x:v>
      </x:c>
      <x:c r="AS9" s="32" t="str">
        <x:v>TIED</x:v>
      </x:c>
      <x:c r="AT9" s="35" t="n">
        <x:v>0</x:v>
      </x:c>
      <x:c r="AU9" s="34" t="n">
        <x:v>0</x:v>
      </x:c>
      <x:c r="AV9" s="32" t="str">
        <x:v>TIED</x:v>
      </x:c>
      <x:c r="AW9" s="32" t="str">
        <x:v>TIED</x:v>
      </x:c>
      <x:c r="AX9" s="35" t="n">
        <x:v>0</x:v>
      </x:c>
      <x:c r="AY9" s="34" t="n">
        <x:v>0</x:v>
      </x:c>
      <x:c r="AZ9" s="32" t="str">
        <x:v>TIED</x:v>
      </x:c>
      <x:c r="BA9" s="32" t="str">
        <x:v>TIED</x:v>
      </x:c>
      <x:c r="BB9" s="35" t="n">
        <x:v>0</x:v>
      </x:c>
      <x:c r="BC9" s="34" t="n">
        <x:v>0</x:v>
      </x:c>
      <x:c r="BD9" s="32" t="str">
        <x:v>TIED</x:v>
      </x:c>
      <x:c r="BE9" s="32" t="str">
        <x:v>TIED</x:v>
      </x:c>
      <x:c r="BF9" s="33" t="b">
        <x:v>0</x:v>
      </x:c>
      <x:c r="BG9" s="32"/>
      <x:c r="BH9" s="32"/>
      <x:c r="BI9" s="32"/>
      <x:c r="BJ9" s="32"/>
      <x:c r="BK9" s="32"/>
      <x:c r="BL9" s="32" t="n">
        <x:v>65</x:v>
      </x:c>
      <x:c r="BM9" s="34" t="n">
        <x:v>354135.17</x:v>
      </x:c>
      <x:c r="BN9" s="32" t="str">
        <x:v>0</x:v>
      </x:c>
    </x:row>
    <x:row r="10" ht="24" customHeight="1">
      <x:c r="A10" s="32" t="str">
        <x:v>2025-06-30</x:v>
      </x:c>
      <x:c r="B10" s="32" t="str">
        <x:v>2025-06</x:v>
      </x:c>
      <x:c r="C10" s="32" t="str">
        <x:v>2025-06-01</x:v>
      </x:c>
      <x:c r="D10" s="32" t="str">
        <x:v>2025-06-30</x:v>
      </x:c>
      <x:c r="E10" s="35" t="str">
        <x:v>30</x:v>
      </x:c>
      <x:c r="F10" s="32" t="str">
        <x:v>0000950131-25-003013</x:v>
      </x:c>
      <x:c r="G10" s="32" t="str">
        <x:v>0001193125-25-166251</x:v>
      </x:c>
      <x:c r="H10" s="32" t="str">
        <x:v>https://www.sec.gov/Archives/edgar/data/2035264/000095013125003013/000095013125003013-index.html</x:v>
      </x:c>
      <x:c r="I10" s="32" t="str">
        <x:v>https://www.sec.gov/Archives/edgar/data/2035264/000119312525166251/d44534dex991.htm</x:v>
      </x:c>
      <x:c r="J10" s="34" t="n">
        <x:v>963283716.05</x:v>
      </x:c>
      <x:c r="K10" s="34" t="n">
        <x:v>963283716.05</x:v>
      </x:c>
      <x:c r="L10" s="34" t="n">
        <x:v>0</x:v>
      </x:c>
      <x:c r="M10" s="32" t="str">
        <x:v>TIED</x:v>
      </x:c>
      <x:c r="N10" s="35" t="n">
        <x:v>53087</x:v>
      </x:c>
      <x:c r="O10" s="35" t="n">
        <x:v>53087</x:v>
      </x:c>
      <x:c r="P10" s="32" t="str">
        <x:v>TIED</x:v>
      </x:c>
      <x:c r="Q10" s="35" t="n">
        <x:v>35</x:v>
      </x:c>
      <x:c r="R10" s="35" t="n">
        <x:v>35</x:v>
      </x:c>
      <x:c r="S10" s="34" t="n">
        <x:v>714186.05</x:v>
      </x:c>
      <x:c r="T10" s="34" t="n">
        <x:v>714186.05</x:v>
      </x:c>
      <x:c r="U10" s="32" t="str">
        <x:v>TIED</x:v>
      </x:c>
      <x:c r="V10" s="32" t="str">
        <x:v>TIED</x:v>
      </x:c>
      <x:c r="W10" s="35" t="n">
        <x:v>35</x:v>
      </x:c>
      <x:c r="X10" s="35" t="n">
        <x:v>35</x:v>
      </x:c>
      <x:c r="Y10" s="34" t="n">
        <x:v>714186.05</x:v>
      </x:c>
      <x:c r="Z10" s="32" t="str">
        <x:v>TIED</x:v>
      </x:c>
      <x:c r="AA10" s="32" t="str">
        <x:v>TIED</x:v>
      </x:c>
      <x:c r="AB10" s="34" t="n">
        <x:v>264787.07</x:v>
      </x:c>
      <x:c r="AC10" s="34" t="n">
        <x:v>264787.07</x:v>
      </x:c>
      <x:c r="AD10" s="34" t="n">
        <x:v>264787.07</x:v>
      </x:c>
      <x:c r="AE10" s="34" t="n">
        <x:v>0</x:v>
      </x:c>
      <x:c r="AF10" s="32" t="str">
        <x:v>TIED</x:v>
      </x:c>
      <x:c r="AG10" s="32" t="str">
        <x:v>TIED</x:v>
      </x:c>
      <x:c r="AH10" s="34" t="n">
        <x:v>449398.98</x:v>
      </x:c>
      <x:c r="AI10" s="32" t="n">
        <x:v>0.54</x:v>
      </x:c>
      <x:c r="AJ10" s="34" t="n">
        <x:v>3203390.44</x:v>
      </x:c>
      <x:c r="AK10" s="32" t="str">
        <x:v>TIED</x:v>
      </x:c>
      <x:c r="AL10" s="32" t="str">
        <x:v>TIED</x:v>
      </x:c>
      <x:c r="AM10" s="35" t="n">
        <x:v>2</x:v>
      </x:c>
      <x:c r="AN10" s="32" t="str">
        <x:v>8</x:v>
      </x:c>
      <x:c r="AO10" s="35" t="n">
        <x:v>8</x:v>
      </x:c>
      <x:c r="AP10" s="35" t="n">
        <x:v>2</x:v>
      </x:c>
      <x:c r="AQ10" s="34" t="n">
        <x:v>50837.98</x:v>
      </x:c>
      <x:c r="AR10" s="32" t="str">
        <x:v>MISMATCH</x:v>
      </x:c>
      <x:c r="AS10" s="32" t="str">
        <x:v>MISMATCH</x:v>
      </x:c>
      <x:c r="AT10" s="35" t="n">
        <x:v>-1</x:v>
      </x:c>
      <x:c r="AU10" s="34" t="n">
        <x:v>-28108.1</x:v>
      </x:c>
      <x:c r="AV10" s="32" t="str">
        <x:v>MISMATCH</x:v>
      </x:c>
      <x:c r="AW10" s="32" t="str">
        <x:v>MISMATCH</x:v>
      </x:c>
      <x:c r="AX10" s="35" t="n">
        <x:v>-1</x:v>
      </x:c>
      <x:c r="AY10" s="34" t="n">
        <x:v>-22729.88</x:v>
      </x:c>
      <x:c r="AZ10" s="32" t="str">
        <x:v>MISMATCH</x:v>
      </x:c>
      <x:c r="BA10" s="32" t="str">
        <x:v>MISMATCH</x:v>
      </x:c>
      <x:c r="BB10" s="35" t="n">
        <x:v>0</x:v>
      </x:c>
      <x:c r="BC10" s="34" t="n">
        <x:v>0</x:v>
      </x:c>
      <x:c r="BD10" s="32" t="str">
        <x:v>TIED</x:v>
      </x:c>
      <x:c r="BE10" s="32" t="str">
        <x:v>TIED</x:v>
      </x:c>
      <x:c r="BF10" s="33" t="b">
        <x:v>0</x:v>
      </x:c>
      <x:c r="BG10" s="32"/>
      <x:c r="BH10" s="32"/>
      <x:c r="BI10" s="32"/>
      <x:c r="BJ10" s="32"/>
      <x:c r="BK10" s="32"/>
      <x:c r="BL10" s="32"/>
      <x:c r="BM10" s="34"/>
      <x:c r="BN10" s="32"/>
    </x:row>
    <x:row r="11" ht="24" customHeight="1">
      <x:c r="A11" s="32" t="str">
        <x:v>2025-07-31</x:v>
      </x:c>
      <x:c r="B11" s="32" t="str">
        <x:v>2025-07</x:v>
      </x:c>
      <x:c r="C11" s="32" t="str">
        <x:v>2025-07-01</x:v>
      </x:c>
      <x:c r="D11" s="32" t="str">
        <x:v>2025-07-31</x:v>
      </x:c>
      <x:c r="E11" s="35" t="str">
        <x:v>31</x:v>
      </x:c>
      <x:c r="F11" s="32" t="str">
        <x:v>0000950131-25-003344</x:v>
      </x:c>
      <x:c r="G11" s="32" t="str">
        <x:v>0001193125-25-187356</x:v>
      </x:c>
      <x:c r="H11" s="32" t="str">
        <x:v>https://www.sec.gov/Archives/edgar/data/2035264/000095013125003344/000095013125003344-index.html</x:v>
      </x:c>
      <x:c r="I11" s="32" t="str">
        <x:v>https://www.sec.gov/Archives/edgar/data/2035264/000119312525187356/d930039dex991.htm</x:v>
      </x:c>
      <x:c r="J11" s="34" t="n">
        <x:v>915845090.38</x:v>
      </x:c>
      <x:c r="K11" s="34" t="n">
        <x:v>915845090.38</x:v>
      </x:c>
      <x:c r="L11" s="34" t="n">
        <x:v>0</x:v>
      </x:c>
      <x:c r="M11" s="32" t="str">
        <x:v>TIED</x:v>
      </x:c>
      <x:c r="N11" s="35" t="n">
        <x:v>51798</x:v>
      </x:c>
      <x:c r="O11" s="35" t="n">
        <x:v>51798</x:v>
      </x:c>
      <x:c r="P11" s="32" t="str">
        <x:v>TIED</x:v>
      </x:c>
      <x:c r="Q11" s="35" t="n">
        <x:v>36</x:v>
      </x:c>
      <x:c r="R11" s="35" t="n">
        <x:v>1</x:v>
      </x:c>
      <x:c r="S11" s="34" t="n">
        <x:v>655185.56</x:v>
      </x:c>
      <x:c r="T11" s="34" t="n">
        <x:v>-59000.49</x:v>
      </x:c>
      <x:c r="U11" s="32" t="str">
        <x:v>MISMATCH</x:v>
      </x:c>
      <x:c r="V11" s="32" t="str">
        <x:v>MISMATCH</x:v>
      </x:c>
      <x:c r="W11" s="35" t="n">
        <x:v>33</x:v>
      </x:c>
      <x:c r="X11" s="35" t="n">
        <x:v>33</x:v>
      </x:c>
      <x:c r="Y11" s="34" t="n">
        <x:v>577420.34</x:v>
      </x:c>
      <x:c r="Z11" s="32" t="str">
        <x:v>MISMATCH</x:v>
      </x:c>
      <x:c r="AA11" s="32" t="str">
        <x:v>MISMATCH</x:v>
      </x:c>
      <x:c r="AB11" s="34" t="n">
        <x:v>257636.52</x:v>
      </x:c>
      <x:c r="AC11" s="34" t="n">
        <x:v>257636.52</x:v>
      </x:c>
      <x:c r="AD11" s="34" t="n">
        <x:v>257636.52</x:v>
      </x:c>
      <x:c r="AE11" s="34" t="n">
        <x:v>0</x:v>
      </x:c>
      <x:c r="AF11" s="32" t="str">
        <x:v>TIED</x:v>
      </x:c>
      <x:c r="AG11" s="32" t="str">
        <x:v>TIED</x:v>
      </x:c>
      <x:c r="AH11" s="34" t="n">
        <x:v>-316637.01</x:v>
      </x:c>
      <x:c r="AI11" s="32" t="n">
        <x:v>-0.39</x:v>
      </x:c>
      <x:c r="AJ11" s="34" t="n">
        <x:v>2886753.43</x:v>
      </x:c>
      <x:c r="AK11" s="32" t="str">
        <x:v>TIED</x:v>
      </x:c>
      <x:c r="AL11" s="32" t="str">
        <x:v>TIED</x:v>
      </x:c>
      <x:c r="AM11" s="35" t="n">
        <x:v>8</x:v>
      </x:c>
      <x:c r="AN11" s="32" t="str">
        <x:v>8</x:v>
      </x:c>
      <x:c r="AO11" s="35" t="n">
        <x:v>2</x:v>
      </x:c>
      <x:c r="AP11" s="35" t="n">
        <x:v>0</x:v>
      </x:c>
      <x:c r="AQ11" s="34" t="n">
        <x:v>0</x:v>
      </x:c>
      <x:c r="AR11" s="32" t="str">
        <x:v>TIED</x:v>
      </x:c>
      <x:c r="AS11" s="32" t="str">
        <x:v>TIED</x:v>
      </x:c>
      <x:c r="AT11" s="35" t="n">
        <x:v>0</x:v>
      </x:c>
      <x:c r="AU11" s="34" t="n">
        <x:v>0</x:v>
      </x:c>
      <x:c r="AV11" s="32" t="str">
        <x:v>TIED</x:v>
      </x:c>
      <x:c r="AW11" s="32" t="str">
        <x:v>TIED</x:v>
      </x:c>
      <x:c r="AX11" s="35" t="n">
        <x:v>0</x:v>
      </x:c>
      <x:c r="AY11" s="34" t="n">
        <x:v>0</x:v>
      </x:c>
      <x:c r="AZ11" s="32" t="str">
        <x:v>TIED</x:v>
      </x:c>
      <x:c r="BA11" s="32" t="str">
        <x:v>TIED</x:v>
      </x:c>
      <x:c r="BB11" s="35" t="n">
        <x:v>0</x:v>
      </x:c>
      <x:c r="BC11" s="34" t="n">
        <x:v>0</x:v>
      </x:c>
      <x:c r="BD11" s="32" t="str">
        <x:v>TIED</x:v>
      </x:c>
      <x:c r="BE11" s="32" t="str">
        <x:v>TIED</x:v>
      </x:c>
      <x:c r="BF11" s="33" t="b">
        <x:v>1</x:v>
      </x:c>
      <x:c r="BG11" s="32" t="n">
        <x:v>36</x:v>
      </x:c>
      <x:c r="BH11" s="32" t="n">
        <x:v>3</x:v>
      </x:c>
      <x:c r="BI11" s="32" t="str">
        <x:v>77765.22000000</x:v>
      </x:c>
      <x:c r="BJ11" s="32" t="n">
        <x:v>0</x:v>
      </x:c>
      <x:c r="BK11" s="32" t="n">
        <x:v>0</x:v>
      </x:c>
      <x:c r="BL11" s="32"/>
      <x:c r="BM11" s="34"/>
      <x:c r="BN11" s="32"/>
    </x:row>
    <x:row r="12" ht="24" customHeight="1">
      <x:c r="A12" s="32" t="str">
        <x:v>2025-08-31</x:v>
      </x:c>
      <x:c r="B12" s="32" t="str">
        <x:v>2025-08</x:v>
      </x:c>
      <x:c r="C12" s="32" t="str">
        <x:v>2025-08-01</x:v>
      </x:c>
      <x:c r="D12" s="32" t="str">
        <x:v>2025-08-31</x:v>
      </x:c>
      <x:c r="E12" s="35" t="str">
        <x:v>31</x:v>
      </x:c>
      <x:c r="F12" s="32" t="str">
        <x:v>0001193125-25-215247</x:v>
      </x:c>
      <x:c r="G12" s="32" t="str">
        <x:v>0001193125-25-219851</x:v>
      </x:c>
      <x:c r="H12" s="32" t="str">
        <x:v>https://www.sec.gov/Archives/edgar/data/2035264/000119312525215247/000119312525215247-index.html</x:v>
      </x:c>
      <x:c r="I12" s="32" t="str">
        <x:v>https://www.sec.gov/Archives/edgar/data/2035264/000119312525219851/d34638dex991.htm</x:v>
      </x:c>
      <x:c r="J12" s="34" t="n">
        <x:v>871829374.42</x:v>
      </x:c>
      <x:c r="K12" s="34" t="n">
        <x:v>871829374.42</x:v>
      </x:c>
      <x:c r="L12" s="34" t="n">
        <x:v>0</x:v>
      </x:c>
      <x:c r="M12" s="32" t="str">
        <x:v>TIED</x:v>
      </x:c>
      <x:c r="N12" s="35" t="n">
        <x:v>50625</x:v>
      </x:c>
      <x:c r="O12" s="35" t="n">
        <x:v>50625</x:v>
      </x:c>
      <x:c r="P12" s="32" t="str">
        <x:v>TIED</x:v>
      </x:c>
      <x:c r="Q12" s="35" t="n">
        <x:v>54</x:v>
      </x:c>
      <x:c r="R12" s="35" t="n">
        <x:v>54</x:v>
      </x:c>
      <x:c r="S12" s="34" t="n">
        <x:v>860007.75</x:v>
      </x:c>
      <x:c r="T12" s="34" t="n">
        <x:v>860007.75</x:v>
      </x:c>
      <x:c r="U12" s="32" t="str">
        <x:v>TIED</x:v>
      </x:c>
      <x:c r="V12" s="32" t="str">
        <x:v>TIED</x:v>
      </x:c>
      <x:c r="W12" s="35" t="n">
        <x:v>24</x:v>
      </x:c>
      <x:c r="X12" s="35" t="n">
        <x:v>24</x:v>
      </x:c>
      <x:c r="Y12" s="34" t="n">
        <x:v>337398.82</x:v>
      </x:c>
      <x:c r="Z12" s="32" t="str">
        <x:v>MISMATCH</x:v>
      </x:c>
      <x:c r="AA12" s="32" t="str">
        <x:v>MISMATCH</x:v>
      </x:c>
      <x:c r="AB12" s="34" t="n">
        <x:v>201044.28</x:v>
      </x:c>
      <x:c r="AC12" s="34" t="n">
        <x:v>201044.28</x:v>
      </x:c>
      <x:c r="AD12" s="34" t="n">
        <x:v>201044.28</x:v>
      </x:c>
      <x:c r="AE12" s="34" t="n">
        <x:v>0</x:v>
      </x:c>
      <x:c r="AF12" s="32" t="str">
        <x:v>TIED</x:v>
      </x:c>
      <x:c r="AG12" s="32" t="str">
        <x:v>TIED</x:v>
      </x:c>
      <x:c r="AH12" s="34" t="n">
        <x:v>658963.47</x:v>
      </x:c>
      <x:c r="AI12" s="32" t="n">
        <x:v>0.86</x:v>
      </x:c>
      <x:c r="AJ12" s="34" t="n">
        <x:v>3545716.9</x:v>
      </x:c>
      <x:c r="AK12" s="32" t="str">
        <x:v>TIED</x:v>
      </x:c>
      <x:c r="AL12" s="32" t="str">
        <x:v>TIED</x:v>
      </x:c>
      <x:c r="AM12" s="35" t="n">
        <x:v>8</x:v>
      </x:c>
      <x:c r="AN12" s="32" t="str">
        <x:v>8</x:v>
      </x:c>
      <x:c r="AO12" s="35" t="n">
        <x:v>4</x:v>
      </x:c>
      <x:c r="AP12" s="35" t="n">
        <x:v>0</x:v>
      </x:c>
      <x:c r="AQ12" s="34" t="n">
        <x:v>0</x:v>
      </x:c>
      <x:c r="AR12" s="32" t="str">
        <x:v>TIED</x:v>
      </x:c>
      <x:c r="AS12" s="32" t="str">
        <x:v>TIED</x:v>
      </x:c>
      <x:c r="AT12" s="35" t="n">
        <x:v>0</x:v>
      </x:c>
      <x:c r="AU12" s="34" t="n">
        <x:v>0</x:v>
      </x:c>
      <x:c r="AV12" s="32" t="str">
        <x:v>TIED</x:v>
      </x:c>
      <x:c r="AW12" s="32" t="str">
        <x:v>TIED</x:v>
      </x:c>
      <x:c r="AX12" s="35" t="n">
        <x:v>0</x:v>
      </x:c>
      <x:c r="AY12" s="34" t="n">
        <x:v>0</x:v>
      </x:c>
      <x:c r="AZ12" s="32" t="str">
        <x:v>TIED</x:v>
      </x:c>
      <x:c r="BA12" s="32" t="str">
        <x:v>TIED</x:v>
      </x:c>
      <x:c r="BB12" s="35" t="n">
        <x:v>0</x:v>
      </x:c>
      <x:c r="BC12" s="34" t="n">
        <x:v>0</x:v>
      </x:c>
      <x:c r="BD12" s="32" t="str">
        <x:v>TIED</x:v>
      </x:c>
      <x:c r="BE12" s="32" t="str">
        <x:v>TIED</x:v>
      </x:c>
      <x:c r="BF12" s="33" t="b">
        <x:v>1</x:v>
      </x:c>
      <x:c r="BG12" s="32" t="n">
        <x:v>54</x:v>
      </x:c>
      <x:c r="BH12" s="32" t="n">
        <x:v>30</x:v>
      </x:c>
      <x:c r="BI12" s="32" t="str">
        <x:v>522608.93000000</x:v>
      </x:c>
      <x:c r="BJ12" s="32" t="n">
        <x:v>0</x:v>
      </x:c>
      <x:c r="BK12" s="32" t="n">
        <x:v>0</x:v>
      </x:c>
      <x:c r="BL12" s="32"/>
      <x:c r="BM12" s="34"/>
      <x:c r="BN12" s="32"/>
    </x:row>
    <x:row r="13" ht="24" customHeight="1">
      <x:c r="A13" s="32" t="str">
        <x:v>2025-09-30</x:v>
      </x:c>
      <x:c r="B13" s="32" t="str">
        <x:v>2025-09</x:v>
      </x:c>
      <x:c r="C13" s="32" t="str">
        <x:v>2025-09-01</x:v>
      </x:c>
      <x:c r="D13" s="32" t="str">
        <x:v>2025-09-30</x:v>
      </x:c>
      <x:c r="E13" s="35" t="str">
        <x:v>30</x:v>
      </x:c>
      <x:c r="F13" s="32" t="str">
        <x:v>0001193125-25-247033</x:v>
      </x:c>
      <x:c r="G13" s="32" t="str">
        <x:v>0001193125-25-249821</x:v>
      </x:c>
      <x:c r="H13" s="32" t="str">
        <x:v>https://www.sec.gov/Archives/edgar/data/2035264/000119312525247033/000119312525247033-index.html</x:v>
      </x:c>
      <x:c r="I13" s="32" t="str">
        <x:v>https://www.sec.gov/Archives/edgar/data/2035264/000119312525249821/d167374dex991.htm</x:v>
      </x:c>
      <x:c r="J13" s="34" t="n">
        <x:v>826908956.08</x:v>
      </x:c>
      <x:c r="K13" s="34" t="n">
        <x:v>826908956.08</x:v>
      </x:c>
      <x:c r="L13" s="34" t="n">
        <x:v>0</x:v>
      </x:c>
      <x:c r="M13" s="32" t="str">
        <x:v>TIED</x:v>
      </x:c>
      <x:c r="N13" s="35" t="n">
        <x:v>49372</x:v>
      </x:c>
      <x:c r="O13" s="35" t="n">
        <x:v>49372</x:v>
      </x:c>
      <x:c r="P13" s="32" t="str">
        <x:v>TIED</x:v>
      </x:c>
      <x:c r="Q13" s="35" t="n">
        <x:v>44</x:v>
      </x:c>
      <x:c r="R13" s="35" t="n">
        <x:v>44</x:v>
      </x:c>
      <x:c r="S13" s="34" t="n">
        <x:v>847949.31</x:v>
      </x:c>
      <x:c r="T13" s="34" t="n">
        <x:v>847949.31</x:v>
      </x:c>
      <x:c r="U13" s="32" t="str">
        <x:v>TIED</x:v>
      </x:c>
      <x:c r="V13" s="32" t="str">
        <x:v>TIED</x:v>
      </x:c>
      <x:c r="W13" s="35" t="n">
        <x:v>44</x:v>
      </x:c>
      <x:c r="X13" s="35" t="n">
        <x:v>44</x:v>
      </x:c>
      <x:c r="Y13" s="34" t="n">
        <x:v>847949.31</x:v>
      </x:c>
      <x:c r="Z13" s="32" t="str">
        <x:v>TIED</x:v>
      </x:c>
      <x:c r="AA13" s="32" t="str">
        <x:v>TIED</x:v>
      </x:c>
      <x:c r="AB13" s="34" t="n">
        <x:v>319706.28</x:v>
      </x:c>
      <x:c r="AC13" s="34" t="n">
        <x:v>319706.28</x:v>
      </x:c>
      <x:c r="AD13" s="34" t="n">
        <x:v>319706.28</x:v>
      </x:c>
      <x:c r="AE13" s="34" t="n">
        <x:v>0</x:v>
      </x:c>
      <x:c r="AF13" s="32" t="str">
        <x:v>TIED</x:v>
      </x:c>
      <x:c r="AG13" s="32" t="str">
        <x:v>TIED</x:v>
      </x:c>
      <x:c r="AH13" s="34" t="n">
        <x:v>528243.03</x:v>
      </x:c>
      <x:c r="AI13" s="32" t="n">
        <x:v>0.73</x:v>
      </x:c>
      <x:c r="AJ13" s="34" t="n">
        <x:v>4073959.93</x:v>
      </x:c>
      <x:c r="AK13" s="32" t="str">
        <x:v>TIED</x:v>
      </x:c>
      <x:c r="AL13" s="32" t="str">
        <x:v>TIED</x:v>
      </x:c>
      <x:c r="AM13" s="35" t="n">
        <x:v>8</x:v>
      </x:c>
      <x:c r="AN13" s="32" t="str">
        <x:v>8</x:v>
      </x:c>
      <x:c r="AO13" s="35" t="n">
        <x:v>2</x:v>
      </x:c>
      <x:c r="AP13" s="35" t="n">
        <x:v>0</x:v>
      </x:c>
      <x:c r="AQ13" s="34" t="n">
        <x:v>0</x:v>
      </x:c>
      <x:c r="AR13" s="32" t="str">
        <x:v>TIED</x:v>
      </x:c>
      <x:c r="AS13" s="32" t="str">
        <x:v>TIED</x:v>
      </x:c>
      <x:c r="AT13" s="35" t="n">
        <x:v>0</x:v>
      </x:c>
      <x:c r="AU13" s="34" t="n">
        <x:v>0</x:v>
      </x:c>
      <x:c r="AV13" s="32" t="str">
        <x:v>TIED</x:v>
      </x:c>
      <x:c r="AW13" s="32" t="str">
        <x:v>TIED</x:v>
      </x:c>
      <x:c r="AX13" s="35" t="n">
        <x:v>0</x:v>
      </x:c>
      <x:c r="AY13" s="34" t="n">
        <x:v>0</x:v>
      </x:c>
      <x:c r="AZ13" s="32" t="str">
        <x:v>TIED</x:v>
      </x:c>
      <x:c r="BA13" s="32" t="str">
        <x:v>TIED</x:v>
      </x:c>
      <x:c r="BB13" s="35" t="n">
        <x:v>0</x:v>
      </x:c>
      <x:c r="BC13" s="34" t="n">
        <x:v>0</x:v>
      </x:c>
      <x:c r="BD13" s="32" t="str">
        <x:v>TIED</x:v>
      </x:c>
      <x:c r="BE13" s="32" t="str">
        <x:v>TIED</x:v>
      </x:c>
      <x:c r="BF13" s="33" t="b">
        <x:v>0</x:v>
      </x:c>
      <x:c r="BG13" s="32"/>
      <x:c r="BH13" s="32"/>
      <x:c r="BI13" s="32"/>
      <x:c r="BJ13" s="32"/>
      <x:c r="BK13" s="32"/>
      <x:c r="BL13" s="32"/>
      <x:c r="BM13" s="34"/>
      <x:c r="BN13" s="32"/>
    </x:row>
    <x:row r="14" ht="24" customHeight="1">
      <x:c r="A14" s="32" t="str">
        <x:v>2025-10-31</x:v>
      </x:c>
      <x:c r="B14" s="32" t="str">
        <x:v>2025-10</x:v>
      </x:c>
      <x:c r="C14" s="32" t="str">
        <x:v>2025-10-01</x:v>
      </x:c>
      <x:c r="D14" s="32" t="str">
        <x:v>2025-10-31</x:v>
      </x:c>
      <x:c r="E14" s="35" t="str">
        <x:v>31</x:v>
      </x:c>
      <x:c r="F14" s="32" t="str">
        <x:v>0001193125-25-287243</x:v>
      </x:c>
      <x:c r="G14" s="32" t="str">
        <x:v>0001193125-25-293600</x:v>
      </x:c>
      <x:c r="H14" s="32" t="str">
        <x:v>https://www.sec.gov/Archives/edgar/data/2035264/000119312525287243/000119312525287243-index.html</x:v>
      </x:c>
      <x:c r="I14" s="32" t="str">
        <x:v>https://www.sec.gov/Archives/edgar/data/2035264/000119312525293600/d74944dex991.htm</x:v>
      </x:c>
      <x:c r="J14" s="34" t="n">
        <x:v>784671431.4</x:v>
      </x:c>
      <x:c r="K14" s="34" t="n">
        <x:v>784671431.4</x:v>
      </x:c>
      <x:c r="L14" s="34" t="n">
        <x:v>0</x:v>
      </x:c>
      <x:c r="M14" s="32" t="str">
        <x:v>TIED</x:v>
      </x:c>
      <x:c r="N14" s="35" t="n">
        <x:v>48105</x:v>
      </x:c>
      <x:c r="O14" s="35" t="n">
        <x:v>48105</x:v>
      </x:c>
      <x:c r="P14" s="32" t="str">
        <x:v>TIED</x:v>
      </x:c>
      <x:c r="Q14" s="35" t="n">
        <x:v>34</x:v>
      </x:c>
      <x:c r="R14" s="35" t="n">
        <x:v>34</x:v>
      </x:c>
      <x:c r="S14" s="34" t="n">
        <x:v>768586.53</x:v>
      </x:c>
      <x:c r="T14" s="34" t="n">
        <x:v>768586.53</x:v>
      </x:c>
      <x:c r="U14" s="32" t="str">
        <x:v>TIED</x:v>
      </x:c>
      <x:c r="V14" s="32" t="str">
        <x:v>TIED</x:v>
      </x:c>
      <x:c r="W14" s="35" t="n">
        <x:v>34</x:v>
      </x:c>
      <x:c r="X14" s="35" t="n">
        <x:v>34</x:v>
      </x:c>
      <x:c r="Y14" s="34" t="n">
        <x:v>768586.53</x:v>
      </x:c>
      <x:c r="Z14" s="32" t="str">
        <x:v>TIED</x:v>
      </x:c>
      <x:c r="AA14" s="32" t="str">
        <x:v>TIED</x:v>
      </x:c>
      <x:c r="AB14" s="34" t="n">
        <x:v>628951.2</x:v>
      </x:c>
      <x:c r="AC14" s="34" t="n">
        <x:v>628951.2</x:v>
      </x:c>
      <x:c r="AD14" s="34" t="n">
        <x:v>628951.2</x:v>
      </x:c>
      <x:c r="AE14" s="34" t="n">
        <x:v>0</x:v>
      </x:c>
      <x:c r="AF14" s="32" t="str">
        <x:v>TIED</x:v>
      </x:c>
      <x:c r="AG14" s="32" t="str">
        <x:v>TIED</x:v>
      </x:c>
      <x:c r="AH14" s="34" t="n">
        <x:v>139635.33</x:v>
      </x:c>
      <x:c r="AI14" s="32" t="n">
        <x:v>0.2</x:v>
      </x:c>
      <x:c r="AJ14" s="34" t="n">
        <x:v>4213595.26</x:v>
      </x:c>
      <x:c r="AK14" s="32" t="str">
        <x:v>TIED</x:v>
      </x:c>
      <x:c r="AL14" s="32" t="str">
        <x:v>TIED</x:v>
      </x:c>
      <x:c r="AM14" s="35" t="n">
        <x:v>8</x:v>
      </x:c>
      <x:c r="AN14" s="32" t="str">
        <x:v>8</x:v>
      </x:c>
      <x:c r="AO14" s="35" t="n">
        <x:v>4</x:v>
      </x:c>
      <x:c r="AP14" s="35" t="n">
        <x:v>0</x:v>
      </x:c>
      <x:c r="AQ14" s="34" t="n">
        <x:v>0</x:v>
      </x:c>
      <x:c r="AR14" s="32" t="str">
        <x:v>TIED</x:v>
      </x:c>
      <x:c r="AS14" s="32" t="str">
        <x:v>TIED</x:v>
      </x:c>
      <x:c r="AT14" s="35" t="n">
        <x:v>0</x:v>
      </x:c>
      <x:c r="AU14" s="34" t="n">
        <x:v>0</x:v>
      </x:c>
      <x:c r="AV14" s="32" t="str">
        <x:v>TIED</x:v>
      </x:c>
      <x:c r="AW14" s="32" t="str">
        <x:v>TIED</x:v>
      </x:c>
      <x:c r="AX14" s="35" t="n">
        <x:v>0</x:v>
      </x:c>
      <x:c r="AY14" s="34" t="n">
        <x:v>0</x:v>
      </x:c>
      <x:c r="AZ14" s="32" t="str">
        <x:v>TIED</x:v>
      </x:c>
      <x:c r="BA14" s="32" t="str">
        <x:v>TIED</x:v>
      </x:c>
      <x:c r="BB14" s="35" t="n">
        <x:v>0</x:v>
      </x:c>
      <x:c r="BC14" s="34" t="n">
        <x:v>0</x:v>
      </x:c>
      <x:c r="BD14" s="32" t="str">
        <x:v>TIED</x:v>
      </x:c>
      <x:c r="BE14" s="32" t="str">
        <x:v>TIED</x:v>
      </x:c>
      <x:c r="BF14" s="33" t="b">
        <x:v>0</x:v>
      </x:c>
      <x:c r="BG14" s="32"/>
      <x:c r="BH14" s="32"/>
      <x:c r="BI14" s="32"/>
      <x:c r="BJ14" s="32"/>
      <x:c r="BK14" s="32"/>
      <x:c r="BL14" s="32"/>
      <x:c r="BM14" s="34"/>
      <x:c r="BN14" s="32"/>
    </x:row>
    <x:row r="15" ht="24" customHeight="1">
      <x:c r="A15" s="32" t="str">
        <x:v>2025-11-30</x:v>
      </x:c>
      <x:c r="B15" s="32" t="str">
        <x:v>2025-11</x:v>
      </x:c>
      <x:c r="C15" s="32" t="str">
        <x:v>2025-11-01</x:v>
      </x:c>
      <x:c r="D15" s="32" t="str">
        <x:v>2025-11-30</x:v>
      </x:c>
      <x:c r="E15" s="35" t="str">
        <x:v>30</x:v>
      </x:c>
      <x:c r="F15" s="32" t="str">
        <x:v>0001193125-25-321961</x:v>
      </x:c>
      <x:c r="G15" s="32" t="str">
        <x:v>0001193125-25-328566</x:v>
      </x:c>
      <x:c r="H15" s="32" t="str">
        <x:v>https://www.sec.gov/Archives/edgar/data/2035264/000119312525321961/000119312525321961-index.html</x:v>
      </x:c>
      <x:c r="I15" s="32" t="str">
        <x:v>https://www.sec.gov/Archives/edgar/data/2035264/000119312525328566/d58705dex991.htm</x:v>
      </x:c>
      <x:c r="J15" s="34" t="n">
        <x:v>748939262.48</x:v>
      </x:c>
      <x:c r="K15" s="34" t="n">
        <x:v>748939262.48</x:v>
      </x:c>
      <x:c r="L15" s="34" t="n">
        <x:v>0</x:v>
      </x:c>
      <x:c r="M15" s="32" t="str">
        <x:v>TIED</x:v>
      </x:c>
      <x:c r="N15" s="35" t="n">
        <x:v>47022</x:v>
      </x:c>
      <x:c r="O15" s="35" t="n">
        <x:v>47022</x:v>
      </x:c>
      <x:c r="P15" s="32" t="str">
        <x:v>TIED</x:v>
      </x:c>
      <x:c r="Q15" s="35" t="n">
        <x:v>27</x:v>
      </x:c>
      <x:c r="R15" s="35" t="n">
        <x:v>27</x:v>
      </x:c>
      <x:c r="S15" s="34" t="n">
        <x:v>507662.28</x:v>
      </x:c>
      <x:c r="T15" s="34" t="n">
        <x:v>507662.28</x:v>
      </x:c>
      <x:c r="U15" s="32" t="str">
        <x:v>TIED</x:v>
      </x:c>
      <x:c r="V15" s="32" t="str">
        <x:v>TIED</x:v>
      </x:c>
      <x:c r="W15" s="35" t="n">
        <x:v>27</x:v>
      </x:c>
      <x:c r="X15" s="35" t="n">
        <x:v>27</x:v>
      </x:c>
      <x:c r="Y15" s="34" t="n">
        <x:v>507662.28</x:v>
      </x:c>
      <x:c r="Z15" s="32" t="str">
        <x:v>TIED</x:v>
      </x:c>
      <x:c r="AA15" s="32" t="str">
        <x:v>TIED</x:v>
      </x:c>
      <x:c r="AB15" s="34" t="n">
        <x:v>296715.68</x:v>
      </x:c>
      <x:c r="AC15" s="34" t="n">
        <x:v>296715.68</x:v>
      </x:c>
      <x:c r="AD15" s="34" t="n">
        <x:v>296715.68</x:v>
      </x:c>
      <x:c r="AE15" s="34" t="n">
        <x:v>0</x:v>
      </x:c>
      <x:c r="AF15" s="32" t="str">
        <x:v>TIED</x:v>
      </x:c>
      <x:c r="AG15" s="32" t="str">
        <x:v>TIED</x:v>
      </x:c>
      <x:c r="AH15" s="34" t="n">
        <x:v>210946.6</x:v>
      </x:c>
      <x:c r="AI15" s="32" t="n">
        <x:v>0.32</x:v>
      </x:c>
      <x:c r="AJ15" s="34" t="n">
        <x:v>4424541.86</x:v>
      </x:c>
      <x:c r="AK15" s="32" t="str">
        <x:v>TIED</x:v>
      </x:c>
      <x:c r="AL15" s="32" t="str">
        <x:v>TIED</x:v>
      </x:c>
      <x:c r="AM15" s="35" t="n">
        <x:v>8</x:v>
      </x:c>
      <x:c r="AN15" s="32" t="str">
        <x:v>8</x:v>
      </x:c>
      <x:c r="AO15" s="35" t="n">
        <x:v>2</x:v>
      </x:c>
      <x:c r="AP15" s="35" t="n">
        <x:v>0</x:v>
      </x:c>
      <x:c r="AQ15" s="34" t="n">
        <x:v>0</x:v>
      </x:c>
      <x:c r="AR15" s="32" t="str">
        <x:v>TIED</x:v>
      </x:c>
      <x:c r="AS15" s="32" t="str">
        <x:v>TIED</x:v>
      </x:c>
      <x:c r="AT15" s="35" t="n">
        <x:v>0</x:v>
      </x:c>
      <x:c r="AU15" s="34" t="n">
        <x:v>0</x:v>
      </x:c>
      <x:c r="AV15" s="32" t="str">
        <x:v>TIED</x:v>
      </x:c>
      <x:c r="AW15" s="32" t="str">
        <x:v>TIED</x:v>
      </x:c>
      <x:c r="AX15" s="35" t="n">
        <x:v>0</x:v>
      </x:c>
      <x:c r="AY15" s="34" t="n">
        <x:v>0</x:v>
      </x:c>
      <x:c r="AZ15" s="32" t="str">
        <x:v>TIED</x:v>
      </x:c>
      <x:c r="BA15" s="32" t="str">
        <x:v>TIED</x:v>
      </x:c>
      <x:c r="BB15" s="35" t="n">
        <x:v>0</x:v>
      </x:c>
      <x:c r="BC15" s="34" t="n">
        <x:v>0</x:v>
      </x:c>
      <x:c r="BD15" s="32" t="str">
        <x:v>TIED</x:v>
      </x:c>
      <x:c r="BE15" s="32" t="str">
        <x:v>TIED</x:v>
      </x:c>
      <x:c r="BF15" s="33" t="b">
        <x:v>0</x:v>
      </x:c>
      <x:c r="BG15" s="32"/>
      <x:c r="BH15" s="32"/>
      <x:c r="BI15" s="32"/>
      <x:c r="BJ15" s="32"/>
      <x:c r="BK15" s="32"/>
      <x:c r="BL15" s="32"/>
      <x:c r="BM15" s="34"/>
      <x:c r="BN15" s="32"/>
    </x:row>
    <x:row r="16" ht="24" customHeight="1">
      <x:c r="A16" s="32" t="str">
        <x:v>2025-12-31</x:v>
      </x:c>
      <x:c r="B16" s="32" t="str">
        <x:v>2025-12</x:v>
      </x:c>
      <x:c r="C16" s="32" t="str">
        <x:v>2025-12-01</x:v>
      </x:c>
      <x:c r="D16" s="32" t="str">
        <x:v>2025-12-31</x:v>
      </x:c>
      <x:c r="E16" s="35" t="str">
        <x:v>31</x:v>
      </x:c>
      <x:c r="F16" s="32" t="str">
        <x:v>0001193125-26-017480</x:v>
      </x:c>
      <x:c r="G16" s="32" t="str">
        <x:v>0001193125-26-020715</x:v>
      </x:c>
      <x:c r="H16" s="32" t="str">
        <x:v>https://www.sec.gov/Archives/edgar/data/2035264/000119312526017480/000119312526017480-index.html</x:v>
      </x:c>
      <x:c r="I16" s="32" t="str">
        <x:v>https://www.sec.gov/Archives/edgar/data/2035264/000119312526020715/d856114dex991.htm</x:v>
      </x:c>
      <x:c r="J16" s="34" t="n">
        <x:v>709376779.08</x:v>
      </x:c>
      <x:c r="K16" s="34" t="n">
        <x:v>709376779.08</x:v>
      </x:c>
      <x:c r="L16" s="34" t="n">
        <x:v>0</x:v>
      </x:c>
      <x:c r="M16" s="32" t="str">
        <x:v>TIED</x:v>
      </x:c>
      <x:c r="N16" s="35" t="n">
        <x:v>45670</x:v>
      </x:c>
      <x:c r="O16" s="35" t="n">
        <x:v>45670</x:v>
      </x:c>
      <x:c r="P16" s="32" t="str">
        <x:v>TIED</x:v>
      </x:c>
      <x:c r="Q16" s="35" t="n">
        <x:v>28</x:v>
      </x:c>
      <x:c r="R16" s="35" t="n">
        <x:v>28</x:v>
      </x:c>
      <x:c r="S16" s="34" t="n">
        <x:v>449701.03</x:v>
      </x:c>
      <x:c r="T16" s="34" t="n">
        <x:v>449701.03</x:v>
      </x:c>
      <x:c r="U16" s="32" t="str">
        <x:v>TIED</x:v>
      </x:c>
      <x:c r="V16" s="32" t="str">
        <x:v>TIED</x:v>
      </x:c>
      <x:c r="W16" s="35" t="n">
        <x:v>28</x:v>
      </x:c>
      <x:c r="X16" s="35" t="n">
        <x:v>28</x:v>
      </x:c>
      <x:c r="Y16" s="34" t="n">
        <x:v>449701.03</x:v>
      </x:c>
      <x:c r="Z16" s="32" t="str">
        <x:v>TIED</x:v>
      </x:c>
      <x:c r="AA16" s="32" t="str">
        <x:v>TIED</x:v>
      </x:c>
      <x:c r="AB16" s="34" t="n">
        <x:v>354031.88</x:v>
      </x:c>
      <x:c r="AC16" s="34" t="n">
        <x:v>354031.88</x:v>
      </x:c>
      <x:c r="AD16" s="34" t="n">
        <x:v>354031.88</x:v>
      </x:c>
      <x:c r="AE16" s="34" t="n">
        <x:v>0</x:v>
      </x:c>
      <x:c r="AF16" s="32" t="str">
        <x:v>TIED</x:v>
      </x:c>
      <x:c r="AG16" s="32" t="str">
        <x:v>TIED</x:v>
      </x:c>
      <x:c r="AH16" s="34" t="n">
        <x:v>95669.15</x:v>
      </x:c>
      <x:c r="AI16" s="32" t="n">
        <x:v>0.15</x:v>
      </x:c>
      <x:c r="AJ16" s="34" t="n">
        <x:v>4520211.01</x:v>
      </x:c>
      <x:c r="AK16" s="32" t="str">
        <x:v>TIED</x:v>
      </x:c>
      <x:c r="AL16" s="32" t="str">
        <x:v>TIED</x:v>
      </x:c>
      <x:c r="AM16" s="35" t="n">
        <x:v>8</x:v>
      </x:c>
      <x:c r="AN16" s="32" t="str">
        <x:v>8</x:v>
      </x:c>
      <x:c r="AO16" s="35" t="n">
        <x:v>2</x:v>
      </x:c>
      <x:c r="AP16" s="35" t="n">
        <x:v>0</x:v>
      </x:c>
      <x:c r="AQ16" s="34" t="n">
        <x:v>0</x:v>
      </x:c>
      <x:c r="AR16" s="32" t="str">
        <x:v>TIED</x:v>
      </x:c>
      <x:c r="AS16" s="32" t="str">
        <x:v>TIED</x:v>
      </x:c>
      <x:c r="AT16" s="35" t="n">
        <x:v>0</x:v>
      </x:c>
      <x:c r="AU16" s="34" t="n">
        <x:v>0</x:v>
      </x:c>
      <x:c r="AV16" s="32" t="str">
        <x:v>TIED</x:v>
      </x:c>
      <x:c r="AW16" s="32" t="str">
        <x:v>TIED</x:v>
      </x:c>
      <x:c r="AX16" s="35" t="n">
        <x:v>0</x:v>
      </x:c>
      <x:c r="AY16" s="34" t="n">
        <x:v>0</x:v>
      </x:c>
      <x:c r="AZ16" s="32" t="str">
        <x:v>TIED</x:v>
      </x:c>
      <x:c r="BA16" s="32" t="str">
        <x:v>TIED</x:v>
      </x:c>
      <x:c r="BB16" s="35" t="n">
        <x:v>0</x:v>
      </x:c>
      <x:c r="BC16" s="34" t="n">
        <x:v>0</x:v>
      </x:c>
      <x:c r="BD16" s="32" t="str">
        <x:v>TIED</x:v>
      </x:c>
      <x:c r="BE16" s="32" t="str">
        <x:v>TIED</x:v>
      </x:c>
      <x:c r="BF16" s="33" t="b">
        <x:v>0</x:v>
      </x:c>
      <x:c r="BG16" s="32"/>
      <x:c r="BH16" s="32"/>
      <x:c r="BI16" s="32"/>
      <x:c r="BJ16" s="32"/>
      <x:c r="BK16" s="32"/>
      <x:c r="BL16" s="32"/>
      <x:c r="BM16" s="34"/>
      <x:c r="BN16" s="32"/>
    </x:row>
    <x:row r="17" ht="24" customHeight="1">
      <x:c r="A17" s="32" t="str">
        <x:v>2026-01-31</x:v>
      </x:c>
      <x:c r="B17" s="32" t="str">
        <x:v>2026-01</x:v>
      </x:c>
      <x:c r="C17" s="32" t="str">
        <x:v>2026-01-01</x:v>
      </x:c>
      <x:c r="D17" s="32" t="str">
        <x:v>2026-01-31</x:v>
      </x:c>
      <x:c r="E17" s="35" t="str">
        <x:v>31</x:v>
      </x:c>
      <x:c r="F17" s="32" t="str">
        <x:v>0001193125-26-055332</x:v>
      </x:c>
      <x:c r="G17" s="32" t="str">
        <x:v>0001193125-26-061163</x:v>
      </x:c>
      <x:c r="H17" s="32" t="str">
        <x:v>https://www.sec.gov/Archives/edgar/data/2035264/000119312526055332/000119312526055332-index.html</x:v>
      </x:c>
      <x:c r="I17" s="32" t="str">
        <x:v>https://www.sec.gov/Archives/edgar/data/2035264/000119312526061163/d111457dex991.htm</x:v>
      </x:c>
      <x:c r="J17" s="34" t="n">
        <x:v>672234602.42</x:v>
      </x:c>
      <x:c r="K17" s="34" t="n">
        <x:v>672234602.42</x:v>
      </x:c>
      <x:c r="L17" s="34" t="n">
        <x:v>0</x:v>
      </x:c>
      <x:c r="M17" s="32" t="str">
        <x:v>TIED</x:v>
      </x:c>
      <x:c r="N17" s="35" t="n">
        <x:v>44241</x:v>
      </x:c>
      <x:c r="O17" s="35" t="n">
        <x:v>44241</x:v>
      </x:c>
      <x:c r="P17" s="32" t="str">
        <x:v>TIED</x:v>
      </x:c>
      <x:c r="Q17" s="35" t="n">
        <x:v>35</x:v>
      </x:c>
      <x:c r="R17" s="35" t="n">
        <x:v>35</x:v>
      </x:c>
      <x:c r="S17" s="34" t="n">
        <x:v>663155.23</x:v>
      </x:c>
      <x:c r="T17" s="34" t="n">
        <x:v>663155.23</x:v>
      </x:c>
      <x:c r="U17" s="32" t="str">
        <x:v>TIED</x:v>
      </x:c>
      <x:c r="V17" s="32" t="str">
        <x:v>TIED</x:v>
      </x:c>
      <x:c r="W17" s="35" t="n">
        <x:v>35</x:v>
      </x:c>
      <x:c r="X17" s="35" t="n">
        <x:v>35</x:v>
      </x:c>
      <x:c r="Y17" s="34" t="n">
        <x:v>663155.23</x:v>
      </x:c>
      <x:c r="Z17" s="32" t="str">
        <x:v>TIED</x:v>
      </x:c>
      <x:c r="AA17" s="32" t="str">
        <x:v>TIED</x:v>
      </x:c>
      <x:c r="AB17" s="34" t="n">
        <x:v>277775.83</x:v>
      </x:c>
      <x:c r="AC17" s="34" t="n">
        <x:v>277775.83</x:v>
      </x:c>
      <x:c r="AD17" s="34" t="n">
        <x:v>277775.83</x:v>
      </x:c>
      <x:c r="AE17" s="34" t="n">
        <x:v>0</x:v>
      </x:c>
      <x:c r="AF17" s="32" t="str">
        <x:v>TIED</x:v>
      </x:c>
      <x:c r="AG17" s="32" t="str">
        <x:v>TIED</x:v>
      </x:c>
      <x:c r="AH17" s="34" t="n">
        <x:v>385379.4</x:v>
      </x:c>
      <x:c r="AI17" s="32" t="n">
        <x:v>0.65</x:v>
      </x:c>
      <x:c r="AJ17" s="34" t="n">
        <x:v>4905590.41</x:v>
      </x:c>
      <x:c r="AK17" s="32" t="str">
        <x:v>TIED</x:v>
      </x:c>
      <x:c r="AL17" s="32" t="str">
        <x:v>TIED</x:v>
      </x:c>
      <x:c r="AM17" s="35" t="n">
        <x:v>8</x:v>
      </x:c>
      <x:c r="AN17" s="32" t="str">
        <x:v>8</x:v>
      </x:c>
      <x:c r="AO17" s="35" t="n">
        <x:v>2</x:v>
      </x:c>
      <x:c r="AP17" s="35" t="n">
        <x:v>0</x:v>
      </x:c>
      <x:c r="AQ17" s="34" t="n">
        <x:v>0</x:v>
      </x:c>
      <x:c r="AR17" s="32" t="str">
        <x:v>TIED</x:v>
      </x:c>
      <x:c r="AS17" s="32" t="str">
        <x:v>TIED</x:v>
      </x:c>
      <x:c r="AT17" s="35" t="n">
        <x:v>0</x:v>
      </x:c>
      <x:c r="AU17" s="34" t="n">
        <x:v>0</x:v>
      </x:c>
      <x:c r="AV17" s="32" t="str">
        <x:v>TIED</x:v>
      </x:c>
      <x:c r="AW17" s="32" t="str">
        <x:v>TIED</x:v>
      </x:c>
      <x:c r="AX17" s="35" t="n">
        <x:v>0</x:v>
      </x:c>
      <x:c r="AY17" s="34" t="n">
        <x:v>0</x:v>
      </x:c>
      <x:c r="AZ17" s="32" t="str">
        <x:v>TIED</x:v>
      </x:c>
      <x:c r="BA17" s="32" t="str">
        <x:v>TIED</x:v>
      </x:c>
      <x:c r="BB17" s="35" t="n">
        <x:v>0</x:v>
      </x:c>
      <x:c r="BC17" s="34" t="n">
        <x:v>0</x:v>
      </x:c>
      <x:c r="BD17" s="32" t="str">
        <x:v>TIED</x:v>
      </x:c>
      <x:c r="BE17" s="32" t="str">
        <x:v>TIED</x:v>
      </x:c>
      <x:c r="BF17" s="33" t="b">
        <x:v>0</x:v>
      </x:c>
      <x:c r="BG17" s="32"/>
      <x:c r="BH17" s="32"/>
      <x:c r="BI17" s="32"/>
      <x:c r="BJ17" s="32"/>
      <x:c r="BK17" s="32"/>
      <x:c r="BL17" s="32"/>
      <x:c r="BM17" s="34"/>
      <x:c r="BN17" s="32"/>
    </x:row>
    <x:row r="18" ht="24" customHeight="1">
      <x:c r="A18" s="32" t="str">
        <x:v>2026-02-28</x:v>
      </x:c>
      <x:c r="B18" s="32" t="str">
        <x:v>2026-02</x:v>
      </x:c>
      <x:c r="C18" s="32" t="str">
        <x:v>2026-02-01</x:v>
      </x:c>
      <x:c r="D18" s="32" t="str">
        <x:v>2026-02-28</x:v>
      </x:c>
      <x:c r="E18" s="35" t="str">
        <x:v>28</x:v>
      </x:c>
      <x:c r="F18" s="32" t="str">
        <x:v>0001193125-26-123107</x:v>
      </x:c>
      <x:c r="G18" s="32" t="str">
        <x:v>0001193125-26-128418</x:v>
      </x:c>
      <x:c r="H18" s="32" t="str">
        <x:v>https://www.sec.gov/Archives/edgar/data/2035264/000119312526123107/000119312526123107-index.html</x:v>
      </x:c>
      <x:c r="I18" s="32" t="str">
        <x:v>https://www.sec.gov/Archives/edgar/data/2035264/000119312526128418/d15624dex991.htm</x:v>
      </x:c>
      <x:c r="J18" s="34" t="n">
        <x:v>638762630.83</x:v>
      </x:c>
      <x:c r="K18" s="34" t="n">
        <x:v>638762630.83</x:v>
      </x:c>
      <x:c r="L18" s="34" t="n">
        <x:v>0</x:v>
      </x:c>
      <x:c r="M18" s="32" t="str">
        <x:v>TIED</x:v>
      </x:c>
      <x:c r="N18" s="35" t="n">
        <x:v>42864</x:v>
      </x:c>
      <x:c r="O18" s="35" t="n">
        <x:v>42864</x:v>
      </x:c>
      <x:c r="P18" s="32" t="str">
        <x:v>TIED</x:v>
      </x:c>
      <x:c r="Q18" s="35" t="n">
        <x:v>28</x:v>
      </x:c>
      <x:c r="R18" s="35" t="n">
        <x:v>28</x:v>
      </x:c>
      <x:c r="S18" s="34" t="n">
        <x:v>342389.44</x:v>
      </x:c>
      <x:c r="T18" s="34" t="n">
        <x:v>342389.44</x:v>
      </x:c>
      <x:c r="U18" s="32" t="str">
        <x:v>TIED</x:v>
      </x:c>
      <x:c r="V18" s="32" t="str">
        <x:v>TIED</x:v>
      </x:c>
      <x:c r="W18" s="35" t="n">
        <x:v>28</x:v>
      </x:c>
      <x:c r="X18" s="35" t="n">
        <x:v>28</x:v>
      </x:c>
      <x:c r="Y18" s="34" t="n">
        <x:v>342389.44</x:v>
      </x:c>
      <x:c r="Z18" s="32" t="str">
        <x:v>TIED</x:v>
      </x:c>
      <x:c r="AA18" s="32" t="str">
        <x:v>TIED</x:v>
      </x:c>
      <x:c r="AB18" s="34" t="n">
        <x:v>293489.96</x:v>
      </x:c>
      <x:c r="AC18" s="34" t="n">
        <x:v>293489.96</x:v>
      </x:c>
      <x:c r="AD18" s="34" t="n">
        <x:v>293489.96</x:v>
      </x:c>
      <x:c r="AE18" s="34" t="n">
        <x:v>0</x:v>
      </x:c>
      <x:c r="AF18" s="32" t="str">
        <x:v>TIED</x:v>
      </x:c>
      <x:c r="AG18" s="32" t="str">
        <x:v>TIED</x:v>
      </x:c>
      <x:c r="AH18" s="34" t="n">
        <x:v>48899.48</x:v>
      </x:c>
      <x:c r="AI18" s="32" t="n">
        <x:v>0.09</x:v>
      </x:c>
      <x:c r="AJ18" s="34" t="n">
        <x:v>4954489.89</x:v>
      </x:c>
      <x:c r="AK18" s="32" t="str">
        <x:v>TIED</x:v>
      </x:c>
      <x:c r="AL18" s="32" t="str">
        <x:v>TIED</x:v>
      </x:c>
      <x:c r="AM18" s="35" t="n">
        <x:v>8</x:v>
      </x:c>
      <x:c r="AN18" s="32" t="str">
        <x:v>8</x:v>
      </x:c>
      <x:c r="AO18" s="35" t="n">
        <x:v>4</x:v>
      </x:c>
      <x:c r="AP18" s="35" t="n">
        <x:v>0</x:v>
      </x:c>
      <x:c r="AQ18" s="34" t="n">
        <x:v>0</x:v>
      </x:c>
      <x:c r="AR18" s="32" t="str">
        <x:v>TIED</x:v>
      </x:c>
      <x:c r="AS18" s="32" t="str">
        <x:v>TIED</x:v>
      </x:c>
      <x:c r="AT18" s="35" t="n">
        <x:v>0</x:v>
      </x:c>
      <x:c r="AU18" s="34" t="n">
        <x:v>0</x:v>
      </x:c>
      <x:c r="AV18" s="32" t="str">
        <x:v>TIED</x:v>
      </x:c>
      <x:c r="AW18" s="32" t="str">
        <x:v>TIED</x:v>
      </x:c>
      <x:c r="AX18" s="35" t="n">
        <x:v>0</x:v>
      </x:c>
      <x:c r="AY18" s="34" t="n">
        <x:v>0</x:v>
      </x:c>
      <x:c r="AZ18" s="32" t="str">
        <x:v>TIED</x:v>
      </x:c>
      <x:c r="BA18" s="32" t="str">
        <x:v>TIED</x:v>
      </x:c>
      <x:c r="BB18" s="35" t="n">
        <x:v>0</x:v>
      </x:c>
      <x:c r="BC18" s="34" t="n">
        <x:v>0</x:v>
      </x:c>
      <x:c r="BD18" s="32" t="str">
        <x:v>TIED</x:v>
      </x:c>
      <x:c r="BE18" s="32" t="str">
        <x:v>TIED</x:v>
      </x:c>
      <x:c r="BF18" s="33" t="b">
        <x:v>0</x:v>
      </x:c>
      <x:c r="BG18" s="32"/>
      <x:c r="BH18" s="32"/>
      <x:c r="BI18" s="32"/>
      <x:c r="BJ18" s="32"/>
      <x:c r="BK18" s="32"/>
      <x:c r="BL18" s="32"/>
      <x:c r="BM18" s="34"/>
      <x:c r="BN18" s="32"/>
    </x:row>
    <x:row r="19" ht="24" customHeight="1">
      <x:c r="A19" s="32" t="str">
        <x:v>2026-03-31</x:v>
      </x:c>
      <x:c r="B19" s="32" t="str">
        <x:v>2026-03</x:v>
      </x:c>
      <x:c r="C19" s="32" t="str">
        <x:v>2026-03-01</x:v>
      </x:c>
      <x:c r="D19" s="32" t="str">
        <x:v>2026-03-31</x:v>
      </x:c>
      <x:c r="E19" s="35" t="str">
        <x:v>31</x:v>
      </x:c>
      <x:c r="F19" s="32" t="str">
        <x:v>0001193125-26-169194</x:v>
      </x:c>
      <x:c r="G19" s="32" t="str">
        <x:v>0001193125-26-176701</x:v>
      </x:c>
      <x:c r="H19" s="32" t="str">
        <x:v>https://www.sec.gov/Archives/edgar/data/2035264/000119312526169194/000119312526169194-index.html</x:v>
      </x:c>
      <x:c r="I19" s="32" t="str">
        <x:v>https://www.sec.gov/Archives/edgar/data/2035264/000119312526176701/d119268dex991.htm</x:v>
      </x:c>
      <x:c r="J19" s="34" t="n">
        <x:v>600670421.82</x:v>
      </x:c>
      <x:c r="K19" s="34" t="n">
        <x:v>600670421.82</x:v>
      </x:c>
      <x:c r="L19" s="34" t="n">
        <x:v>0</x:v>
      </x:c>
      <x:c r="M19" s="32" t="str">
        <x:v>TIED</x:v>
      </x:c>
      <x:c r="N19" s="35" t="n">
        <x:v>40895</x:v>
      </x:c>
      <x:c r="O19" s="35" t="n">
        <x:v>40895</x:v>
      </x:c>
      <x:c r="P19" s="32" t="str">
        <x:v>TIED</x:v>
      </x:c>
      <x:c r="Q19" s="35" t="n">
        <x:v>29</x:v>
      </x:c>
      <x:c r="R19" s="35" t="n">
        <x:v>29</x:v>
      </x:c>
      <x:c r="S19" s="34" t="n">
        <x:v>446560.85</x:v>
      </x:c>
      <x:c r="T19" s="34" t="n">
        <x:v>446560.85</x:v>
      </x:c>
      <x:c r="U19" s="32" t="str">
        <x:v>TIED</x:v>
      </x:c>
      <x:c r="V19" s="32" t="str">
        <x:v>TIED</x:v>
      </x:c>
      <x:c r="W19" s="35" t="n">
        <x:v>29</x:v>
      </x:c>
      <x:c r="X19" s="35" t="n">
        <x:v>29</x:v>
      </x:c>
      <x:c r="Y19" s="34" t="n">
        <x:v>446560.85</x:v>
      </x:c>
      <x:c r="Z19" s="32" t="str">
        <x:v>TIED</x:v>
      </x:c>
      <x:c r="AA19" s="32" t="str">
        <x:v>TIED</x:v>
      </x:c>
      <x:c r="AB19" s="34" t="n">
        <x:v>483239.09</x:v>
      </x:c>
      <x:c r="AC19" s="34" t="n">
        <x:v>483239.09</x:v>
      </x:c>
      <x:c r="AD19" s="34" t="n">
        <x:v>483239.09</x:v>
      </x:c>
      <x:c r="AE19" s="34" t="n">
        <x:v>0</x:v>
      </x:c>
      <x:c r="AF19" s="32" t="str">
        <x:v>TIED</x:v>
      </x:c>
      <x:c r="AG19" s="32" t="str">
        <x:v>TIED</x:v>
      </x:c>
      <x:c r="AH19" s="34" t="n">
        <x:v>-36678.24</x:v>
      </x:c>
      <x:c r="AI19" s="32" t="n">
        <x:v>-0.07</x:v>
      </x:c>
      <x:c r="AJ19" s="34" t="n">
        <x:v>4917811.65</x:v>
      </x:c>
      <x:c r="AK19" s="32" t="str">
        <x:v>TIED</x:v>
      </x:c>
      <x:c r="AL19" s="32" t="str">
        <x:v>TIED</x:v>
      </x:c>
      <x:c r="AM19" s="35" t="n">
        <x:v>8</x:v>
      </x:c>
      <x:c r="AN19" s="32" t="str">
        <x:v>8</x:v>
      </x:c>
      <x:c r="AO19" s="35" t="n">
        <x:v>4</x:v>
      </x:c>
      <x:c r="AP19" s="35" t="n">
        <x:v>0</x:v>
      </x:c>
      <x:c r="AQ19" s="34" t="n">
        <x:v>0</x:v>
      </x:c>
      <x:c r="AR19" s="32" t="str">
        <x:v>TIED</x:v>
      </x:c>
      <x:c r="AS19" s="32" t="str">
        <x:v>TIED</x:v>
      </x:c>
      <x:c r="AT19" s="35" t="n">
        <x:v>0</x:v>
      </x:c>
      <x:c r="AU19" s="34" t="n">
        <x:v>0</x:v>
      </x:c>
      <x:c r="AV19" s="32" t="str">
        <x:v>TIED</x:v>
      </x:c>
      <x:c r="AW19" s="32" t="str">
        <x:v>TIED</x:v>
      </x:c>
      <x:c r="AX19" s="35" t="n">
        <x:v>0</x:v>
      </x:c>
      <x:c r="AY19" s="34" t="n">
        <x:v>0</x:v>
      </x:c>
      <x:c r="AZ19" s="32" t="str">
        <x:v>TIED</x:v>
      </x:c>
      <x:c r="BA19" s="32" t="str">
        <x:v>TIED</x:v>
      </x:c>
      <x:c r="BB19" s="35" t="n">
        <x:v>0</x:v>
      </x:c>
      <x:c r="BC19" s="34" t="n">
        <x:v>0</x:v>
      </x:c>
      <x:c r="BD19" s="32" t="str">
        <x:v>TIED</x:v>
      </x:c>
      <x:c r="BE19" s="32" t="str">
        <x:v>TIED</x:v>
      </x:c>
      <x:c r="BF19" s="33" t="b">
        <x:v>0</x:v>
      </x:c>
      <x:c r="BG19" s="32"/>
      <x:c r="BH19" s="32"/>
      <x:c r="BI19" s="32"/>
      <x:c r="BJ19" s="32"/>
      <x:c r="BK19" s="32"/>
      <x:c r="BL19" s="32"/>
      <x:c r="BM19" s="34"/>
      <x:c r="BN19" s="32"/>
    </x:row>
    <x:row r="20" ht="24" customHeight="1">
      <x:c r="A20" s="32" t="str">
        <x:v>2026-04-30</x:v>
      </x:c>
      <x:c r="B20" s="32" t="str">
        <x:v>2026-04</x:v>
      </x:c>
      <x:c r="C20" s="32" t="str">
        <x:v>2026-04-01</x:v>
      </x:c>
      <x:c r="D20" s="32" t="str">
        <x:v>2026-04-30</x:v>
      </x:c>
      <x:c r="E20" s="35" t="str">
        <x:v>30</x:v>
      </x:c>
      <x:c r="F20" s="32" t="str">
        <x:v>0001193125-26-231956</x:v>
      </x:c>
      <x:c r="G20" s="32" t="str">
        <x:v>0001193125-26-238726</x:v>
      </x:c>
      <x:c r="H20" s="32" t="str">
        <x:v>https://www.sec.gov/Archives/edgar/data/2035264/000119312526231956/000119312526231956-index.html</x:v>
      </x:c>
      <x:c r="I20" s="32" t="str">
        <x:v>https://www.sec.gov/Archives/edgar/data/2035264/000119312526238726/d98443dex991.htm</x:v>
      </x:c>
      <x:c r="J20" s="34" t="n">
        <x:v>566273961.68</x:v>
      </x:c>
      <x:c r="K20" s="34" t="n">
        <x:v>566273961.68</x:v>
      </x:c>
      <x:c r="L20" s="34" t="n">
        <x:v>0</x:v>
      </x:c>
      <x:c r="M20" s="32" t="str">
        <x:v>TIED</x:v>
      </x:c>
      <x:c r="N20" s="35" t="n">
        <x:v>39252</x:v>
      </x:c>
      <x:c r="O20" s="35" t="n">
        <x:v>39252</x:v>
      </x:c>
      <x:c r="P20" s="32" t="str">
        <x:v>TIED</x:v>
      </x:c>
      <x:c r="Q20" s="35" t="n">
        <x:v>14</x:v>
      </x:c>
      <x:c r="R20" s="35" t="n">
        <x:v>14</x:v>
      </x:c>
      <x:c r="S20" s="34" t="n">
        <x:v>184509.39</x:v>
      </x:c>
      <x:c r="T20" s="34" t="n">
        <x:v>184509.39</x:v>
      </x:c>
      <x:c r="U20" s="32" t="str">
        <x:v>TIED</x:v>
      </x:c>
      <x:c r="V20" s="32" t="str">
        <x:v>TIED</x:v>
      </x:c>
      <x:c r="W20" s="35" t="n">
        <x:v>14</x:v>
      </x:c>
      <x:c r="X20" s="35" t="n">
        <x:v>14</x:v>
      </x:c>
      <x:c r="Y20" s="34" t="n">
        <x:v>184509.39</x:v>
      </x:c>
      <x:c r="Z20" s="32" t="str">
        <x:v>TIED</x:v>
      </x:c>
      <x:c r="AA20" s="32" t="str">
        <x:v>TIED</x:v>
      </x:c>
      <x:c r="AB20" s="34" t="n">
        <x:v>297678.44</x:v>
      </x:c>
      <x:c r="AC20" s="34" t="n">
        <x:v>297678.44</x:v>
      </x:c>
      <x:c r="AD20" s="34" t="n">
        <x:v>297678.44</x:v>
      </x:c>
      <x:c r="AE20" s="34" t="n">
        <x:v>0</x:v>
      </x:c>
      <x:c r="AF20" s="32" t="str">
        <x:v>TIED</x:v>
      </x:c>
      <x:c r="AG20" s="32" t="str">
        <x:v>TIED</x:v>
      </x:c>
      <x:c r="AH20" s="34" t="n">
        <x:v>-113169.05</x:v>
      </x:c>
      <x:c r="AI20" s="32" t="n">
        <x:v>-0.23</x:v>
      </x:c>
      <x:c r="AJ20" s="34" t="n">
        <x:v>4804642.6</x:v>
      </x:c>
      <x:c r="AK20" s="32" t="str">
        <x:v>TIED</x:v>
      </x:c>
      <x:c r="AL20" s="32" t="str">
        <x:v>TIED</x:v>
      </x:c>
      <x:c r="AM20" s="35" t="n">
        <x:v>8</x:v>
      </x:c>
      <x:c r="AN20" s="32" t="str">
        <x:v>8</x:v>
      </x:c>
      <x:c r="AO20" s="35" t="n">
        <x:v>4</x:v>
      </x:c>
      <x:c r="AP20" s="35" t="n">
        <x:v>0</x:v>
      </x:c>
      <x:c r="AQ20" s="34" t="n">
        <x:v>0</x:v>
      </x:c>
      <x:c r="AR20" s="32" t="str">
        <x:v>TIED</x:v>
      </x:c>
      <x:c r="AS20" s="32" t="str">
        <x:v>TIED</x:v>
      </x:c>
      <x:c r="AT20" s="35" t="n">
        <x:v>0</x:v>
      </x:c>
      <x:c r="AU20" s="34" t="n">
        <x:v>0</x:v>
      </x:c>
      <x:c r="AV20" s="32" t="str">
        <x:v>TIED</x:v>
      </x:c>
      <x:c r="AW20" s="32" t="str">
        <x:v>TIED</x:v>
      </x:c>
      <x:c r="AX20" s="35" t="n">
        <x:v>0</x:v>
      </x:c>
      <x:c r="AY20" s="34" t="n">
        <x:v>0</x:v>
      </x:c>
      <x:c r="AZ20" s="32" t="str">
        <x:v>TIED</x:v>
      </x:c>
      <x:c r="BA20" s="32" t="str">
        <x:v>TIED</x:v>
      </x:c>
      <x:c r="BB20" s="35" t="n">
        <x:v>0</x:v>
      </x:c>
      <x:c r="BC20" s="34" t="n">
        <x:v>0</x:v>
      </x:c>
      <x:c r="BD20" s="32" t="str">
        <x:v>TIED</x:v>
      </x:c>
      <x:c r="BE20" s="32" t="str">
        <x:v>TIED</x:v>
      </x:c>
      <x:c r="BF20" s="33" t="b">
        <x:v>0</x:v>
      </x:c>
      <x:c r="BG20" s="32"/>
      <x:c r="BH20" s="32"/>
      <x:c r="BI20" s="32"/>
      <x:c r="BJ20" s="32"/>
      <x:c r="BK20" s="32"/>
      <x:c r="BL20" s="32"/>
      <x:c r="BM20" s="34"/>
      <x:c r="BN20" s="32"/>
    </x:row>
    <x:row r="21" ht="24" customHeight="1">
      <x:c r="A21" s="32" t="str">
        <x:v>2026-05-31</x:v>
      </x:c>
      <x:c r="B21" s="32" t="str">
        <x:v>2026-05</x:v>
      </x:c>
      <x:c r="C21" s="32" t="str">
        <x:v>2026-05-01</x:v>
      </x:c>
      <x:c r="D21" s="32" t="str">
        <x:v>2026-05-31</x:v>
      </x:c>
      <x:c r="E21" s="35" t="str">
        <x:v>31</x:v>
      </x:c>
      <x:c r="F21" s="32" t="str">
        <x:v>0001193125-26-280715</x:v>
      </x:c>
      <x:c r="G21" s="32" t="str">
        <x:v>0001193125-26-284488</x:v>
      </x:c>
      <x:c r="H21" s="32" t="str">
        <x:v>https://www.sec.gov/Archives/edgar/data/2035264/000119312526280715/000119312526280715-index.html</x:v>
      </x:c>
      <x:c r="I21" s="32" t="str">
        <x:v>https://www.sec.gov/Archives/edgar/data/2035264/000119312526284488/d164942dex991.htm</x:v>
      </x:c>
      <x:c r="J21" s="34" t="n">
        <x:v>535489396.42</x:v>
      </x:c>
      <x:c r="K21" s="34" t="n">
        <x:v>535489396.42</x:v>
      </x:c>
      <x:c r="L21" s="34" t="n">
        <x:v>0</x:v>
      </x:c>
      <x:c r="M21" s="32" t="str">
        <x:v>TIED</x:v>
      </x:c>
      <x:c r="N21" s="35" t="n">
        <x:v>37015</x:v>
      </x:c>
      <x:c r="O21" s="35" t="n">
        <x:v>37015</x:v>
      </x:c>
      <x:c r="P21" s="32" t="str">
        <x:v>TIED</x:v>
      </x:c>
      <x:c r="Q21" s="35" t="n">
        <x:v>20</x:v>
      </x:c>
      <x:c r="R21" s="35" t="n">
        <x:v>20</x:v>
      </x:c>
      <x:c r="S21" s="34" t="n">
        <x:v>364011.34</x:v>
      </x:c>
      <x:c r="T21" s="34" t="n">
        <x:v>364011.34</x:v>
      </x:c>
      <x:c r="U21" s="32" t="str">
        <x:v>TIED</x:v>
      </x:c>
      <x:c r="V21" s="32" t="str">
        <x:v>TIED</x:v>
      </x:c>
      <x:c r="W21" s="35" t="n">
        <x:v>20</x:v>
      </x:c>
      <x:c r="X21" s="35" t="n">
        <x:v>20</x:v>
      </x:c>
      <x:c r="Y21" s="34" t="n">
        <x:v>364011.34</x:v>
      </x:c>
      <x:c r="Z21" s="32" t="str">
        <x:v>TIED</x:v>
      </x:c>
      <x:c r="AA21" s="32" t="str">
        <x:v>TIED</x:v>
      </x:c>
      <x:c r="AB21" s="34" t="n">
        <x:v>279390.28</x:v>
      </x:c>
      <x:c r="AC21" s="34" t="n">
        <x:v>279390.28</x:v>
      </x:c>
      <x:c r="AD21" s="34" t="n">
        <x:v>279390.28</x:v>
      </x:c>
      <x:c r="AE21" s="34" t="n">
        <x:v>0</x:v>
      </x:c>
      <x:c r="AF21" s="32" t="str">
        <x:v>TIED</x:v>
      </x:c>
      <x:c r="AG21" s="32" t="str">
        <x:v>TIED</x:v>
      </x:c>
      <x:c r="AH21" s="34" t="n">
        <x:v>84621.06</x:v>
      </x:c>
      <x:c r="AI21" s="32" t="n">
        <x:v>0.18</x:v>
      </x:c>
      <x:c r="AJ21" s="34" t="n">
        <x:v>4889263.66</x:v>
      </x:c>
      <x:c r="AK21" s="32" t="str">
        <x:v>TIED</x:v>
      </x:c>
      <x:c r="AL21" s="32" t="str">
        <x:v>TIED</x:v>
      </x:c>
      <x:c r="AM21" s="35" t="n">
        <x:v>8</x:v>
      </x:c>
      <x:c r="AN21" s="32" t="str">
        <x:v>8</x:v>
      </x:c>
      <x:c r="AO21" s="35" t="n">
        <x:v>2</x:v>
      </x:c>
      <x:c r="AP21" s="35" t="n">
        <x:v>0</x:v>
      </x:c>
      <x:c r="AQ21" s="34" t="n">
        <x:v>0</x:v>
      </x:c>
      <x:c r="AR21" s="32" t="str">
        <x:v>TIED</x:v>
      </x:c>
      <x:c r="AS21" s="32" t="str">
        <x:v>TIED</x:v>
      </x:c>
      <x:c r="AT21" s="35" t="n">
        <x:v>0</x:v>
      </x:c>
      <x:c r="AU21" s="34" t="n">
        <x:v>0</x:v>
      </x:c>
      <x:c r="AV21" s="32" t="str">
        <x:v>TIED</x:v>
      </x:c>
      <x:c r="AW21" s="32" t="str">
        <x:v>TIED</x:v>
      </x:c>
      <x:c r="AX21" s="35" t="n">
        <x:v>0</x:v>
      </x:c>
      <x:c r="AY21" s="34" t="n">
        <x:v>0</x:v>
      </x:c>
      <x:c r="AZ21" s="32" t="str">
        <x:v>TIED</x:v>
      </x:c>
      <x:c r="BA21" s="32" t="str">
        <x:v>TIED</x:v>
      </x:c>
      <x:c r="BB21" s="35" t="n">
        <x:v>0</x:v>
      </x:c>
      <x:c r="BC21" s="34" t="n">
        <x:v>0</x:v>
      </x:c>
      <x:c r="BD21" s="32" t="str">
        <x:v>TIED</x:v>
      </x:c>
      <x:c r="BE21" s="32" t="str">
        <x:v>TIED</x:v>
      </x:c>
      <x:c r="BF21" s="33" t="b">
        <x:v>0</x:v>
      </x:c>
      <x:c r="BG21" s="32"/>
      <x:c r="BH21" s="32"/>
      <x:c r="BI21" s="32"/>
      <x:c r="BJ21" s="32"/>
      <x:c r="BK21" s="32"/>
      <x:c r="BL21" s="32"/>
      <x:c r="BM21" s="34"/>
      <x:c r="BN21" s="32"/>
    </x:row>
    <x:row r="22" ht="24" customHeight="1">
      <x:c r="A22" s="32" t="str">
        <x:v>2026-06-30</x:v>
      </x:c>
      <x:c r="B22" s="32" t="str">
        <x:v>2026-06</x:v>
      </x:c>
      <x:c r="C22" s="32" t="str">
        <x:v>2026-06-01</x:v>
      </x:c>
      <x:c r="D22" s="32" t="str">
        <x:v>2026-06-30</x:v>
      </x:c>
      <x:c r="E22" s="35" t="str">
        <x:v>30</x:v>
      </x:c>
      <x:c r="F22" s="32" t="str">
        <x:v>0001193125-26-311828</x:v>
      </x:c>
      <x:c r="G22" s="32" t="str">
        <x:v>0001193125-26-315933</x:v>
      </x:c>
      <x:c r="H22" s="32" t="str">
        <x:v>https://www.sec.gov/Archives/edgar/data/2035264/000119312526311828/000119312526311828-index.html</x:v>
      </x:c>
      <x:c r="I22" s="32" t="str">
        <x:v>https://www.sec.gov/Archives/edgar/data/2035264/000119312526315933/d144181dex991.htm</x:v>
      </x:c>
      <x:c r="J22" s="34" t="n">
        <x:v>504974056.51</x:v>
      </x:c>
      <x:c r="K22" s="34" t="n">
        <x:v>504974056.51</x:v>
      </x:c>
      <x:c r="L22" s="34" t="n">
        <x:v>0</x:v>
      </x:c>
      <x:c r="M22" s="32" t="str">
        <x:v>TIED</x:v>
      </x:c>
      <x:c r="N22" s="35" t="n">
        <x:v>34687</x:v>
      </x:c>
      <x:c r="O22" s="35" t="n">
        <x:v>34687</x:v>
      </x:c>
      <x:c r="P22" s="32" t="str">
        <x:v>TIED</x:v>
      </x:c>
      <x:c r="Q22" s="35" t="n">
        <x:v>22</x:v>
      </x:c>
      <x:c r="R22" s="35" t="n">
        <x:v>22</x:v>
      </x:c>
      <x:c r="S22" s="34" t="n">
        <x:v>383180.95</x:v>
      </x:c>
      <x:c r="T22" s="34" t="n">
        <x:v>383180.95</x:v>
      </x:c>
      <x:c r="U22" s="32" t="str">
        <x:v>TIED</x:v>
      </x:c>
      <x:c r="V22" s="32" t="str">
        <x:v>TIED</x:v>
      </x:c>
      <x:c r="W22" s="35" t="n">
        <x:v>22</x:v>
      </x:c>
      <x:c r="X22" s="35" t="n">
        <x:v>22</x:v>
      </x:c>
      <x:c r="Y22" s="34" t="n">
        <x:v>383180.95</x:v>
      </x:c>
      <x:c r="Z22" s="32" t="str">
        <x:v>TIED</x:v>
      </x:c>
      <x:c r="AA22" s="32" t="str">
        <x:v>TIED</x:v>
      </x:c>
      <x:c r="AB22" s="34" t="n">
        <x:v>348400.64</x:v>
      </x:c>
      <x:c r="AC22" s="34" t="n">
        <x:v>348400.64</x:v>
      </x:c>
      <x:c r="AD22" s="34" t="n">
        <x:v>348400.64</x:v>
      </x:c>
      <x:c r="AE22" s="34" t="n">
        <x:v>0</x:v>
      </x:c>
      <x:c r="AF22" s="32" t="str">
        <x:v>TIED</x:v>
      </x:c>
      <x:c r="AG22" s="32" t="str">
        <x:v>TIED</x:v>
      </x:c>
      <x:c r="AH22" s="34" t="n">
        <x:v>34780.31</x:v>
      </x:c>
      <x:c r="AI22" s="32" t="n">
        <x:v>0.08</x:v>
      </x:c>
      <x:c r="AJ22" s="34" t="n">
        <x:v>4924043.97</x:v>
      </x:c>
      <x:c r="AK22" s="32" t="str">
        <x:v>TIED</x:v>
      </x:c>
      <x:c r="AL22" s="32" t="str">
        <x:v>TIED</x:v>
      </x:c>
      <x:c r="AM22" s="35" t="n">
        <x:v>8</x:v>
      </x:c>
      <x:c r="AN22" s="32" t="str">
        <x:v>8</x:v>
      </x:c>
      <x:c r="AO22" s="35" t="n">
        <x:v>4</x:v>
      </x:c>
      <x:c r="AP22" s="35" t="n">
        <x:v>0</x:v>
      </x:c>
      <x:c r="AQ22" s="34" t="n">
        <x:v>0</x:v>
      </x:c>
      <x:c r="AR22" s="32" t="str">
        <x:v>TIED</x:v>
      </x:c>
      <x:c r="AS22" s="32" t="str">
        <x:v>TIED</x:v>
      </x:c>
      <x:c r="AT22" s="35" t="n">
        <x:v>0</x:v>
      </x:c>
      <x:c r="AU22" s="34" t="n">
        <x:v>0</x:v>
      </x:c>
      <x:c r="AV22" s="32" t="str">
        <x:v>TIED</x:v>
      </x:c>
      <x:c r="AW22" s="32" t="str">
        <x:v>TIED</x:v>
      </x:c>
      <x:c r="AX22" s="35" t="n">
        <x:v>0</x:v>
      </x:c>
      <x:c r="AY22" s="34" t="n">
        <x:v>0</x:v>
      </x:c>
      <x:c r="AZ22" s="32" t="str">
        <x:v>TIED</x:v>
      </x:c>
      <x:c r="BA22" s="32" t="str">
        <x:v>TIED</x:v>
      </x:c>
      <x:c r="BB22" s="35" t="n">
        <x:v>0</x:v>
      </x:c>
      <x:c r="BC22" s="34" t="n">
        <x:v>0</x:v>
      </x:c>
      <x:c r="BD22" s="32" t="str">
        <x:v>TIED</x:v>
      </x:c>
      <x:c r="BE22" s="32" t="str">
        <x:v>TIED</x:v>
      </x:c>
      <x:c r="BF22" s="33" t="b">
        <x:v>0</x:v>
      </x:c>
      <x:c r="BG22" s="32"/>
      <x:c r="BH22" s="32"/>
      <x:c r="BI22" s="32"/>
      <x:c r="BJ22" s="32"/>
      <x:c r="BK22" s="32"/>
      <x:c r="BL22" s="32"/>
      <x:c r="BM22" s="34"/>
      <x:c r="BN22" s="32"/>
    </x:row>
    <x:row r="23" ht="24" customHeight="1">
      <x:c r="A23" s="32" t="str">
        <x:v>2026-07-31</x:v>
      </x:c>
      <x:c r="B23" s="32" t="str">
        <x:v>2026-07</x:v>
      </x:c>
      <x:c r="C23" s="32" t="str">
        <x:v>2026-07-01</x:v>
      </x:c>
      <x:c r="D23" s="32" t="str">
        <x:v>2026-07-31</x:v>
      </x:c>
      <x:c r="E23" s="35" t="str">
        <x:v>31</x:v>
      </x:c>
      <x:c r="F23" s="32" t="str">
        <x:v>0001193125-26-356400</x:v>
      </x:c>
      <x:c r="G23" s="32" t="str">
        <x:v>0001193125-26-360553</x:v>
      </x:c>
      <x:c r="H23" s="32" t="str">
        <x:v>https://www.sec.gov/Archives/edgar/data/2035264/000119312526356400/000119312526356400-index.html</x:v>
      </x:c>
      <x:c r="I23" s="32" t="str">
        <x:v>https://www.sec.gov/Archives/edgar/data/2035264/000119312526360553/d102853dex991.htm</x:v>
      </x:c>
      <x:c r="J23" s="34" t="n">
        <x:v>476086194.17</x:v>
      </x:c>
      <x:c r="K23" s="34" t="n">
        <x:v>476086194.17</x:v>
      </x:c>
      <x:c r="L23" s="34" t="n">
        <x:v>0</x:v>
      </x:c>
      <x:c r="M23" s="32" t="str">
        <x:v>TIED</x:v>
      </x:c>
      <x:c r="N23" s="35" t="n">
        <x:v>33029</x:v>
      </x:c>
      <x:c r="O23" s="35" t="n">
        <x:v>33029</x:v>
      </x:c>
      <x:c r="P23" s="32" t="str">
        <x:v>TIED</x:v>
      </x:c>
      <x:c r="Q23" s="35" t="n">
        <x:v>27</x:v>
      </x:c>
      <x:c r="R23" s="35" t="n">
        <x:v>27</x:v>
      </x:c>
      <x:c r="S23" s="34" t="n">
        <x:v>356233.48</x:v>
      </x:c>
      <x:c r="T23" s="34" t="n">
        <x:v>356233.48</x:v>
      </x:c>
      <x:c r="U23" s="32" t="str">
        <x:v>TIED</x:v>
      </x:c>
      <x:c r="V23" s="32" t="str">
        <x:v>TIED</x:v>
      </x:c>
      <x:c r="W23" s="35" t="n">
        <x:v>27</x:v>
      </x:c>
      <x:c r="X23" s="35" t="n">
        <x:v>27</x:v>
      </x:c>
      <x:c r="Y23" s="34" t="n">
        <x:v>356233.48</x:v>
      </x:c>
      <x:c r="Z23" s="32" t="str">
        <x:v>TIED</x:v>
      </x:c>
      <x:c r="AA23" s="32" t="str">
        <x:v>TIED</x:v>
      </x:c>
      <x:c r="AB23" s="34" t="n">
        <x:v>269866.53</x:v>
      </x:c>
      <x:c r="AC23" s="34" t="n">
        <x:v>269866.53</x:v>
      </x:c>
      <x:c r="AD23" s="34" t="n">
        <x:v>269866.53</x:v>
      </x:c>
      <x:c r="AE23" s="34" t="n">
        <x:v>0</x:v>
      </x:c>
      <x:c r="AF23" s="32" t="str">
        <x:v>TIED</x:v>
      </x:c>
      <x:c r="AG23" s="32" t="str">
        <x:v>TIED</x:v>
      </x:c>
      <x:c r="AH23" s="34" t="n">
        <x:v>86366.95</x:v>
      </x:c>
      <x:c r="AI23" s="32" t="n">
        <x:v>0.21</x:v>
      </x:c>
      <x:c r="AJ23" s="34" t="n">
        <x:v>5010410.92</x:v>
      </x:c>
      <x:c r="AK23" s="32" t="str">
        <x:v>TIED</x:v>
      </x:c>
      <x:c r="AL23" s="32" t="str">
        <x:v>TIED</x:v>
      </x:c>
      <x:c r="AM23" s="35" t="n">
        <x:v>8</x:v>
      </x:c>
      <x:c r="AN23" s="32" t="str">
        <x:v>8</x:v>
      </x:c>
      <x:c r="AO23" s="35" t="n">
        <x:v>4</x:v>
      </x:c>
      <x:c r="AP23" s="35" t="n">
        <x:v>0</x:v>
      </x:c>
      <x:c r="AQ23" s="34" t="n">
        <x:v>0</x:v>
      </x:c>
      <x:c r="AR23" s="32" t="str">
        <x:v>TIED</x:v>
      </x:c>
      <x:c r="AS23" s="32" t="str">
        <x:v>TIED</x:v>
      </x:c>
      <x:c r="AT23" s="35" t="n">
        <x:v>0</x:v>
      </x:c>
      <x:c r="AU23" s="34" t="n">
        <x:v>0</x:v>
      </x:c>
      <x:c r="AV23" s="32" t="str">
        <x:v>TIED</x:v>
      </x:c>
      <x:c r="AW23" s="32" t="str">
        <x:v>TIED</x:v>
      </x:c>
      <x:c r="AX23" s="35" t="n">
        <x:v>0</x:v>
      </x:c>
      <x:c r="AY23" s="34" t="n">
        <x:v>0</x:v>
      </x:c>
      <x:c r="AZ23" s="32" t="str">
        <x:v>TIED</x:v>
      </x:c>
      <x:c r="BA23" s="32" t="str">
        <x:v>TIED</x:v>
      </x:c>
      <x:c r="BB23" s="35" t="n">
        <x:v>0</x:v>
      </x:c>
      <x:c r="BC23" s="34" t="n">
        <x:v>0</x:v>
      </x:c>
      <x:c r="BD23" s="32" t="str">
        <x:v>TIED</x:v>
      </x:c>
      <x:c r="BE23" s="32" t="str">
        <x:v>TIED</x:v>
      </x:c>
      <x:c r="BF23" s="33" t="b">
        <x:v>0</x:v>
      </x:c>
      <x:c r="BG23" s="32"/>
      <x:c r="BH23" s="32"/>
      <x:c r="BI23" s="32"/>
      <x:c r="BJ23" s="32"/>
      <x:c r="BK23" s="32"/>
      <x:c r="BL23" s="32"/>
      <x:c r="BM23" s="34"/>
      <x:c r="BN23" s="32"/>
    </x:row>
    <x:row r="24" ht="24" customHeight="1">
      <x:c r="A24" s="32" t="str">
        <x:v>2026-08-31</x:v>
      </x:c>
      <x:c r="B24" s="32" t="str">
        <x:v>2026-08</x:v>
      </x:c>
      <x:c r="C24" s="32" t="str">
        <x:v>2026-08-01</x:v>
      </x:c>
      <x:c r="D24" s="32" t="str">
        <x:v>2026-08-31</x:v>
      </x:c>
      <x:c r="E24" s="35" t="str">
        <x:v>31</x:v>
      </x:c>
      <x:c r="F24" s="32" t="str">
        <x:v>0001193125-26-398713</x:v>
      </x:c>
      <x:c r="G24" s="32" t="str">
        <x:v>0001193125-26-402371</x:v>
      </x:c>
      <x:c r="H24" s="32" t="str">
        <x:v>https://www.sec.gov/Archives/edgar/data/2035264/000119312526398713/000119312526398713-index.html</x:v>
      </x:c>
      <x:c r="I24" s="32" t="str">
        <x:v>https://www.sec.gov/Archives/edgar/data/2035264/000119312526402371/d172375dex991.htm</x:v>
      </x:c>
      <x:c r="J24" s="34" t="n">
        <x:v>449976338.31</x:v>
      </x:c>
      <x:c r="K24" s="34" t="n">
        <x:v>449976338.31</x:v>
      </x:c>
      <x:c r="L24" s="34" t="n">
        <x:v>0</x:v>
      </x:c>
      <x:c r="M24" s="32" t="str">
        <x:v>TIED</x:v>
      </x:c>
      <x:c r="N24" s="35" t="n">
        <x:v>31857</x:v>
      </x:c>
      <x:c r="O24" s="35" t="n">
        <x:v>31857</x:v>
      </x:c>
      <x:c r="P24" s="32" t="str">
        <x:v>TIED</x:v>
      </x:c>
      <x:c r="Q24" s="35" t="n">
        <x:v>28</x:v>
      </x:c>
      <x:c r="R24" s="35" t="n">
        <x:v>28</x:v>
      </x:c>
      <x:c r="S24" s="34" t="n">
        <x:v>439605.46</x:v>
      </x:c>
      <x:c r="T24" s="34" t="n">
        <x:v>439605.46</x:v>
      </x:c>
      <x:c r="U24" s="32" t="str">
        <x:v>TIED</x:v>
      </x:c>
      <x:c r="V24" s="32" t="str">
        <x:v>TIED</x:v>
      </x:c>
      <x:c r="W24" s="35" t="n">
        <x:v>28</x:v>
      </x:c>
      <x:c r="X24" s="35" t="n">
        <x:v>28</x:v>
      </x:c>
      <x:c r="Y24" s="34" t="n">
        <x:v>439605.46</x:v>
      </x:c>
      <x:c r="Z24" s="32" t="str">
        <x:v>TIED</x:v>
      </x:c>
      <x:c r="AA24" s="32" t="str">
        <x:v>TIED</x:v>
      </x:c>
      <x:c r="AB24" s="34" t="n">
        <x:v>218370.75</x:v>
      </x:c>
      <x:c r="AC24" s="34" t="n">
        <x:v>218370.75</x:v>
      </x:c>
      <x:c r="AD24" s="34" t="n">
        <x:v>218370.75</x:v>
      </x:c>
      <x:c r="AE24" s="34" t="n">
        <x:v>0</x:v>
      </x:c>
      <x:c r="AF24" s="32" t="str">
        <x:v>TIED</x:v>
      </x:c>
      <x:c r="AG24" s="32" t="str">
        <x:v>TIED</x:v>
      </x:c>
      <x:c r="AH24" s="34" t="n">
        <x:v>221234.71</x:v>
      </x:c>
      <x:c r="AI24" s="32" t="n">
        <x:v>0.56</x:v>
      </x:c>
      <x:c r="AJ24" s="34" t="n">
        <x:v>5231645.63</x:v>
      </x:c>
      <x:c r="AK24" s="32" t="str">
        <x:v>TIED</x:v>
      </x:c>
      <x:c r="AL24" s="32" t="str">
        <x:v>TIED</x:v>
      </x:c>
      <x:c r="AM24" s="35" t="n">
        <x:v>8</x:v>
      </x:c>
      <x:c r="AN24" s="32" t="str">
        <x:v>8</x:v>
      </x:c>
      <x:c r="AO24" s="35" t="n">
        <x:v>4</x:v>
      </x:c>
      <x:c r="AP24" s="35" t="n">
        <x:v>0</x:v>
      </x:c>
      <x:c r="AQ24" s="34" t="n">
        <x:v>0</x:v>
      </x:c>
      <x:c r="AR24" s="32" t="str">
        <x:v>TIED</x:v>
      </x:c>
      <x:c r="AS24" s="32" t="str">
        <x:v>TIED</x:v>
      </x:c>
      <x:c r="AT24" s="35" t="n">
        <x:v>0</x:v>
      </x:c>
      <x:c r="AU24" s="34" t="n">
        <x:v>0</x:v>
      </x:c>
      <x:c r="AV24" s="32" t="str">
        <x:v>TIED</x:v>
      </x:c>
      <x:c r="AW24" s="32" t="str">
        <x:v>TIED</x:v>
      </x:c>
      <x:c r="AX24" s="35" t="n">
        <x:v>0</x:v>
      </x:c>
      <x:c r="AY24" s="34" t="n">
        <x:v>0</x:v>
      </x:c>
      <x:c r="AZ24" s="32" t="str">
        <x:v>TIED</x:v>
      </x:c>
      <x:c r="BA24" s="32" t="str">
        <x:v>TIED</x:v>
      </x:c>
      <x:c r="BB24" s="35" t="n">
        <x:v>0</x:v>
      </x:c>
      <x:c r="BC24" s="34" t="n">
        <x:v>0</x:v>
      </x:c>
      <x:c r="BD24" s="32" t="str">
        <x:v>TIED</x:v>
      </x:c>
      <x:c r="BE24" s="32" t="str">
        <x:v>TIED</x:v>
      </x:c>
      <x:c r="BF24" s="33" t="b">
        <x:v>0</x:v>
      </x:c>
      <x:c r="BG24" s="32"/>
      <x:c r="BH24" s="32"/>
      <x:c r="BI24" s="32"/>
      <x:c r="BJ24" s="32"/>
      <x:c r="BK24" s="32"/>
      <x:c r="BL24" s="32"/>
      <x:c r="BM24" s="34"/>
      <x:c r="BN24" s="32"/>
    </x:row>
  </x:sheetData>
  <x:pageMargins left="0.7" right="0.7" top="0.75" bottom="0.75" header="0.3" footer="0.3"/>
  <x:tableParts count="1">
    <x:tablePart xmlns:r="http://schemas.openxmlformats.org/officeDocument/2006/relationships" r:id="R2eb31cb20f84493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118" hidden="0" customWidth="1"/>
  </x:cols>
  <x:sheetData>
    <x:row r="1" ht="30" customHeight="1">
      <x:c r="A1" s="37" t="str">
        <x:v>Topic</x:v>
      </x:c>
      <x:c r="B1" s="37" t="str">
        <x:v>Definition / evidence</x:v>
      </x:c>
    </x:row>
    <x:row r="2" ht="48" customHeight="1">
      <x:c r="A2" s="39" t="str">
        <x:v>Scope</x:v>
      </x:c>
      <x:c r="B2" s="32" t="str">
        <x:v>Nissan Auto Receivables 2024-B Owner Trust; 23 monthly periods (2024-10 to 2026-08); 1,154,259 asset-month rows and 63,688 asset keys in the private audited panel. Public workbook includes monthly aggregates only.</x:v>
      </x:c>
    </x:row>
    <x:row r="3" ht="48" customHeight="1">
      <x:c r="A3" s="39" t="str">
        <x:v>Source grain</x:v>
      </x:c>
      <x:c r="B3" s="32" t="str">
        <x:v>One row per report date. Collection-period start/end, filing accessions, public URLs, source values, exactness flags and aggregate deltas remain visible on Period ledger.</x:v>
      </x:c>
    </x:row>
    <x:row r="4" ht="48" customHeight="1">
      <x:c r="A4" s="39" t="str">
        <x:v>Pool tie</x:v>
      </x:c>
      <x:c r="B4" s="32" t="str">
        <x:v>Ending pool balance and positive ending-balance count are compared independently with the certificate pool balance and contract count.</x:v>
      </x:c>
    </x:row>
    <x:row r="5" ht="48" customHeight="1">
      <x:c r="A5" s="39" t="str">
        <x:v>Charge-off candidates</x:v>
      </x:c>
      <x:c r="B5" s="32" t="str">
        <x:v>Positive charge-off rows, first zeroBalanceCode=4 rows and positive first-code-4 amount are separate candidate definitions. No single candidate matches all periods.</x:v>
      </x:c>
    </x:row>
    <x:row r="6" ht="48" customHeight="1">
      <x:c r="A6" s="39" t="str">
        <x:v>July 2025 event</x:v>
      </x:c>
      <x:c r="B6" s="32" t="str">
        <x:v>ABS-EE: 36 positive charge-off rows / USD 655,185.56; first code 4: 33 / USD 577,420.34; three repeated rows: USD 77,765.22. Certificate: one defaulted receivable and signed gross principal −USD 59,000.49. No transaction-level crosswalk proves these are the same measure.</x:v>
      </x:c>
    </x:row>
    <x:row r="7" ht="48" customHeight="1">
      <x:c r="A7" s="39" t="str">
        <x:v>DPD literal</x:v>
      </x:c>
      <x:c r="B7" s="32" t="str">
        <x:v>Monthly ABS-EE bucket counts and balances are compared literally with four certificate buckets. June 2025: 2/8 exact; total count and balance residuals are zero after offsetting bucket differences.</x:v>
      </x:c>
    </x:row>
    <x:row r="8" ht="48" customHeight="1">
      <x:c r="A8" s="39" t="str">
        <x:v>DPD shifted diagnostic</x:v>
      </x:c>
      <x:c r="B8" s="32" t="str">
        <x:v>Moving each candidate boundary one day earlier yields 8/8 June checks but only 86/184 full-panel exact fields vs 178/184 literal. Kept as a diagnostic; not adopted as a rule.</x:v>
      </x:c>
    </x:row>
    <x:row r="9" ht="48" customHeight="1">
      <x:c r="A9" s="39" t="str">
        <x:v>Recovery residual</x:v>
      </x:c>
      <x:c r="B9" s="32" t="str">
        <x:v>ABS-EE recoveredAmount minus certificate Recoveries of Defaulted Receivables. Six periods differ by +USD 8,859.23 total. It is not a recovery-rate estimate, LGD, loss or forecast.</x:v>
      </x:c>
    </x:row>
    <x:row r="10" ht="48" customHeight="1">
      <x:c r="A10" s="39" t="str">
        <x:v>Nissan EX-103</x:v>
      </x:c>
      <x:c r="B10" s="32" t="str">
        <x:v>Recovered amount applies to receivables previously charged off. Repossessed sale proceeds are in repossessedProceedsAmount if sold in the repossession period; sale proceeds in a later period are included in recoveredAmount. Keep fields separate to avoid double count.</x:v>
      </x:c>
    </x:row>
    <x:row r="11" ht="48" customHeight="1">
      <x:c r="A11" s="39" t="str">
        <x:v>Amendment check</x:v>
      </x:c>
      <x:c r="B11" s="32" t="str">
        <x:v>SEC submissions census checked 2026-10-17: no ABS-EE/A or 10-D/A for 2025-07-31 appeared in the 57 recent rows; this does not rule out servicer-side changes not filed as an amendment.</x:v>
      </x:c>
    </x:row>
    <x:row r="12" ht="48" customHeight="1">
      <x:c r="A12" s="39" t="str">
        <x:v>Sources: SEC July 2025 certificate</x:v>
      </x:c>
      <x:c r="B12" s="32" t="str">
        <x:v>https://www.sec.gov/Archives/edgar/data/2035264/000119312525187356/d930039dex991.htm</x:v>
      </x:c>
    </x:row>
    <x:row r="13" ht="48" customHeight="1">
      <x:c r="A13" s="39" t="str">
        <x:v>Sources: SEC July 2025 ABS-EE</x:v>
      </x:c>
      <x:c r="B13" s="32" t="str">
        <x:v>https://www.sec.gov/Archives/edgar/data/2035264/000095013125003344/0000950131-25-003344-index.html</x:v>
      </x:c>
    </x:row>
    <x:row r="14" ht="48" customHeight="1">
      <x:c r="A14" s="39" t="str">
        <x:v>Source: SEC June 2025 certificate</x:v>
      </x:c>
      <x:c r="B14" s="32" t="str">
        <x:v>https://www.sec.gov/Archives/edgar/data/2035264/000119312525166251/d44534dex991.htm</x:v>
      </x:c>
    </x:row>
    <x:row r="15" ht="48" customHeight="1">
      <x:c r="A15" s="39" t="str">
        <x:v>Source: issuer field definitions, EX-103</x:v>
      </x:c>
      <x:c r="B15" s="32" t="str">
        <x:v>https://www.sec.gov/Archives/edgar/data/1129068/000119312526231956/0001193125-26-231956-index.htm</x:v>
      </x:c>
    </x:row>
    <x:row r="16" ht="48" customHeight="1">
      <x:c r="A16" s="39" t="str">
        <x:v>Source: SEC submissions API</x:v>
      </x:c>
      <x:c r="B16" s="32" t="str">
        <x:v>https://data.sec.gov/submissions/CIK0002035264.json</x:v>
      </x:c>
    </x:row>
    <x:row r="17" ht="48" customHeight="1">
      <x:c r="A17" s="39" t="str">
        <x:v>Calculation precision</x:v>
      </x:c>
      <x:c r="B17" s="32" t="str">
        <x:v>Public CSV builder uses Python Decimal for amount deltas and checks private audit receipt hashes/status. Workbook formulas independently recalculate counts, deltas and summary totals from the public CSV; source amounts keep reported signs.</x:v>
      </x:c>
    </x:row>
    <x:row r="18" ht="48" customHeight="1">
      <x:c r="A18" s="39" t="str">
        <x:v>Missingness and estimation</x:v>
      </x:c>
      <x:c r="B18" s="32" t="str">
        <x:v>No missing-to-zero fill, forecast, interpolation or imputation is used. Blank focus-audit fields mean not in the four-month event detail, not a measured zero.</x:v>
      </x:c>
    </x:row>
    <x:row r="19" ht="48" customHeight="1">
      <x:c r="A19" s="39" t="str">
        <x:v>Release boundary</x:v>
      </x:c>
      <x:c r="B19" s="32" t="str">
        <x:v>No asset identifiers, borrower rows, credentials or private audit payloads are published. CSV and receipt contain aggregate values, source URLs and SHA-256 lineage.</x:v>
      </x:c>
    </x:row>
    <x:row r="20" ht="48" customHeight="1">
      <x:c r="A20" s="39" t="str">
        <x:v>Primary research note</x:v>
      </x:c>
      <x:c r="B20" s="32" t="str">
        <x:v>docs/NISSAN_2024B_EXCEPTION_LEDGER_VI.md</x:v>
      </x:c>
    </x:row>
  </x:sheetData>
  <x:pageMargins left="0.7" right="0.7" top="0.75" bottom="0.75" header="0.3" footer="0.3"/>
  <x:tableParts count="1">
    <x:tablePart xmlns:r="http://schemas.openxmlformats.org/officeDocument/2006/relationships" r:id="R270759a314a844ee"/>
  </x:tableParts>
</x:worksheet>
</file>