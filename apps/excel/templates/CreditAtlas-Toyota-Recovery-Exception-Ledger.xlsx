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34236cba4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5a1e185c424aea"/>
    <x:sheet xmlns:r="http://schemas.openxmlformats.org/officeDocument/2006/relationships" name="Period ledger" sheetId="2" r:id="Rc5d14b2f646748fe"/>
    <x:sheet xmlns:r="http://schemas.openxmlformats.org/officeDocument/2006/relationships" name="Method &amp; sources" sheetId="3" r:id="R4a2ba145262048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–"/>
    <x:numFmt numFmtId="201" formatCode="0"/>
  </x:numFmts>
  <x:fonts count="8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FFFFFF"/>
      <x:name val="Carlito"/>
    </x:font>
    <x:font>
      <x:b/>
      <x:sz val="12"/>
      <x:color rgb="FF243B53"/>
      <x:name val="Carlito"/>
    </x:font>
    <x:font>
      <x:b/>
      <x:sz val="10"/>
      <x:color rgb="FFFFFFFF"/>
      <x:name val="Carlito"/>
    </x:font>
    <x:font>
      <x:b/>
      <x:sz val="11"/>
      <x:color rgb="FF243B53"/>
      <x:name val="Carlito"/>
    </x:font>
    <x:font>
      <x:sz val="11"/>
      <x:color rgb="FF664D03"/>
      <x:name val="Carlito"/>
    </x:font>
    <x:font>
      <x:sz val="11"/>
      <x:color rgb="FF243B5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486581"/>
      </x:patternFill>
    </x:fill>
    <x:fill>
      <x:patternFill patternType="solid">
        <x:fgColor rgb="FFEAF1F7"/>
      </x:patternFill>
    </x:fill>
    <x:fill>
      <x:patternFill patternType="solid">
        <x:fgColor rgb="FFFFF4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5" fillId="4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d3f8214f584176" /><Relationship Type="http://schemas.openxmlformats.org/officeDocument/2006/relationships/theme" Target="/xl/theme/theme1.xml" Id="R5ce5f8a6a39247e2" /><Relationship Type="http://schemas.openxmlformats.org/officeDocument/2006/relationships/sharedStrings" Target="/xl/sharedStrings.xml" Id="Rcbeb5a6388b244bd" /><Relationship Type="http://schemas.openxmlformats.org/officeDocument/2006/relationships/worksheet" Target="/xl/worksheets/sheet1.xml" Id="R3c5a1e185c424aea" /><Relationship Type="http://schemas.openxmlformats.org/officeDocument/2006/relationships/worksheet" Target="/xl/worksheets/sheet2.xml" Id="Rc5d14b2f646748fe" /><Relationship Type="http://schemas.openxmlformats.org/officeDocument/2006/relationships/worksheet" Target="/xl/worksheets/sheet3.xml" Id="R4a2ba145262048d5" /></Relationships>
</file>

<file path=xl/tables/table1.xml><?xml version="1.0" encoding="utf-8"?>
<x:table xmlns:x="http://schemas.openxmlformats.org/spreadsheetml/2006/main" id="1" name="ToyotaRecoveryExceptions" displayName="ToyotaRecoveryExceptions" ref="A1:Z81" headerRowCount="1" totalsRowCount="0" totalsRowShown="0">
  <x:autoFilter ref="A1:Z81"/>
  <x:tableColumns count="26">
    <x:tableColumn id="1" name="Exception ID"/>
    <x:tableColumn id="2" name="Deal"/>
    <x:tableColumn id="3" name="Report month"/>
    <x:tableColumn id="4" name="Report date"/>
    <x:tableColumn id="5" name="Collection period start"/>
    <x:tableColumn id="6" name="Collection period end"/>
    <x:tableColumn id="7" name="Calendar days"/>
    <x:tableColumn id="8" name="Filing date"/>
    <x:tableColumn id="9" name="ABS-EE accession"/>
    <x:tableColumn id="10" name="10-D accession"/>
    <x:tableColumn id="11" name="ABS-EE recoveredAmount sum (USD)"/>
    <x:tableColumn id="12" name="Certificate net liquidation proceeds (signed USD)"/>
    <x:tableColumn id="13" name="Certificate recoveries on prior liquidations (signed USD)"/>
    <x:tableColumn id="14" name="Certificate aggregate net liquidation proceeds (USD)"/>
    <x:tableColumn id="15" name="Gross principal liquidated (USD)"/>
    <x:tableColumn id="16" name="Repurchased previously charged-off principal (signed USD)"/>
    <x:tableColumn id="17" name="Certificate net credit losses (USD)"/>
    <x:tableColumn id="18" name="Certificate recovery bridge check (USD)"/>
    <x:tableColumn id="19" name="Certificate net-loss bridge check (USD)"/>
    <x:tableColumn id="20" name="Recovery component identity"/>
    <x:tableColumn id="21" name="Net-loss identity"/>
    <x:tableColumn id="22" name="ABS-EE minus certificate (USD)"/>
    <x:tableColumn id="23" name="Reconciliation status"/>
    <x:tableColumn id="24" name="Exception note"/>
    <x:tableColumn id="25" name="Certificate filing URL"/>
    <x:tableColumn id="26" name="Certificate 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86b069aff4459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27" hidden="0" customWidth="1"/>
    <x:col min="6" max="6" width="27" hidden="0" customWidth="1"/>
    <x:col min="7" max="7" width="27" hidden="0" customWidth="1"/>
    <x:col min="8" max="8" width="22" hidden="0" customWidth="1"/>
    <x:col min="9" max="9" width="22" hidden="0" customWidth="1"/>
  </x:cols>
  <x:sheetData>
    <x:row r="1" ht="38" customHeight="1">
      <x:c r="A1" s="3" t="str">
        <x:v>Toyota ABS recovery exception ledger · source-backed public aggregates</x:v>
      </x:c>
      <x:c r="B1" s="3"/>
      <x:c r="C1" s="3"/>
      <x:c r="D1" s="3"/>
      <x:c r="E1" s="3"/>
      <x:c r="F1" s="3"/>
      <x:c r="G1" s="3"/>
      <x:c r="H1" s="3"/>
      <x:c r="I1" s="3"/>
    </x:row>
    <x:row r="3" ht="24" customHeight="1">
      <x:c r="A3" s="6" t="str">
        <x:v>Control</x:v>
      </x:c>
      <x:c r="B3" s="6" t="str">
        <x:v>Result</x:v>
      </x:c>
    </x:row>
    <x:row r="4" ht="24" customHeight="1">
      <x:c r="A4" t="str">
        <x:v>Periods audited</x:v>
      </x:c>
      <x:c r="B4" t="n">
        <x:f>COUNTA('Period ledger'!A2:A81)</x:f>
        <x:v>80</x:v>
      </x:c>
    </x:row>
    <x:row r="5" ht="24" customHeight="1">
      <x:c r="A5" t="str">
        <x:v>Tied periods</x:v>
      </x:c>
      <x:c r="B5" t="n">
        <x:f>COUNTIF('Period ledger'!W2:W81,"TIED")</x:f>
        <x:v>3</x:v>
      </x:c>
    </x:row>
    <x:row r="6" ht="24" customHeight="1">
      <x:c r="A6" t="str">
        <x:v>Unresolved periods</x:v>
      </x:c>
      <x:c r="B6" t="n">
        <x:f>COUNTIF('Period ledger'!W2:W81,"UNRESOLVED")</x:f>
        <x:v>77</x:v>
      </x:c>
    </x:row>
    <x:row r="7" ht="24" customHeight="1">
      <x:c r="A7" t="str">
        <x:v>Net signed residual (USD)</x:v>
      </x:c>
      <x:c r="B7" s="20" t="n">
        <x:f>SUM('Period ledger'!V2:V81)</x:f>
        <x:v>3823205.14</x:v>
      </x:c>
    </x:row>
    <x:row r="9">
      <x:c r="A9" s="8" t="str">
        <x:v>Deal-level reconciliation</x:v>
      </x:c>
      <x:c r="B9" s="8"/>
      <x:c r="C9" s="8"/>
      <x:c r="D9" s="8"/>
      <x:c r="E9" s="8"/>
      <x:c r="F9" s="8"/>
      <x:c r="G9" s="8"/>
      <x:c r="H9" s="8"/>
      <x:c r="I9" s="8"/>
    </x:row>
    <x:row r="10" ht="42" customHeight="1">
      <x:c r="A10" s="11" t="str">
        <x:v>Deal</x:v>
      </x:c>
      <x:c r="B10" s="11" t="str">
        <x:v>Periods</x:v>
      </x:c>
      <x:c r="C10" s="11" t="str">
        <x:v>Tied</x:v>
      </x:c>
      <x:c r="D10" s="11" t="str">
        <x:v>Unresolved</x:v>
      </x:c>
      <x:c r="E10" s="11" t="str">
        <x:v>ABS-EE recoveredAmount sum (USD)</x:v>
      </x:c>
      <x:c r="F10" s="11" t="str">
        <x:v>Certificate aggregate proceeds (USD)</x:v>
      </x:c>
      <x:c r="G10" s="11" t="str">
        <x:v>Signed residual (USD)</x:v>
      </x:c>
      <x:c r="H10" s="11" t="str">
        <x:v>Recovery bridge checks passed</x:v>
      </x:c>
      <x:c r="I10" s="11" t="str">
        <x:v>Net-loss bridge checks passed</x:v>
      </x:c>
    </x:row>
    <x:row r="11">
      <x:c r="A11" t="str">
        <x:v>2022-B</x:v>
      </x:c>
      <x:c r="B11" t="n">
        <x:f>COUNTIF('Period ledger'!$B$2:$B$81,A11)</x:f>
        <x:v>51</x:v>
      </x:c>
      <x:c r="C11" t="n">
        <x:f>COUNTIFS('Period ledger'!$B$2:$B$81,A11,'Period ledger'!$W$2:$W$81,"TIED")</x:f>
        <x:v>2</x:v>
      </x:c>
      <x:c r="D11" t="n">
        <x:f>COUNTIFS('Period ledger'!$B$2:$B$81,A11,'Period ledger'!$W$2:$W$81,"UNRESOLVED")</x:f>
        <x:v>49</x:v>
      </x:c>
      <x:c r="E11" s="20" t="n">
        <x:f>SUMIF('Period ledger'!$B$2:$B$81,A11,'Period ledger'!$K$2:$K$81)</x:f>
        <x:v>16414508.06</x:v>
      </x:c>
      <x:c r="F11" s="20" t="n">
        <x:f>SUMIF('Period ledger'!$B$2:$B$81,A11,'Period ledger'!$N$2:$N$81)</x:f>
        <x:v>14355861.000000002</x:v>
      </x:c>
      <x:c r="G11" s="20" t="n">
        <x:f>SUMIF('Period ledger'!$B$2:$B$81,A11,'Period ledger'!$V$2:$V$81)</x:f>
        <x:v>2058647.0599999998</x:v>
      </x:c>
      <x:c r="H11" t="n">
        <x:f>COUNTIFS('Period ledger'!$B$2:$B$81,A11,'Period ledger'!$T$2:$T$81,"PASS")</x:f>
        <x:v>51</x:v>
      </x:c>
      <x:c r="I11" t="n">
        <x:f>COUNTIFS('Period ledger'!$B$2:$B$81,A11,'Period ledger'!$U$2:$U$81,"PASS")</x:f>
        <x:v>51</x:v>
      </x:c>
    </x:row>
    <x:row r="12">
      <x:c r="A12" t="str">
        <x:v>2024-B</x:v>
      </x:c>
      <x:c r="B12" t="n">
        <x:f>COUNTIF('Period ledger'!$B$2:$B$81,A12)</x:f>
        <x:v>29</x:v>
      </x:c>
      <x:c r="C12" t="n">
        <x:f>COUNTIFS('Period ledger'!$B$2:$B$81,A12,'Period ledger'!$W$2:$W$81,"TIED")</x:f>
        <x:v>1</x:v>
      </x:c>
      <x:c r="D12" t="n">
        <x:f>COUNTIFS('Period ledger'!$B$2:$B$81,A12,'Period ledger'!$W$2:$W$81,"UNRESOLVED")</x:f>
        <x:v>28</x:v>
      </x:c>
      <x:c r="E12" s="20" t="n">
        <x:f>SUMIF('Period ledger'!$B$2:$B$81,A12,'Period ledger'!$K$2:$K$81)</x:f>
        <x:v>13517164.159999996</x:v>
      </x:c>
      <x:c r="F12" s="20" t="n">
        <x:f>SUMIF('Period ledger'!$B$2:$B$81,A12,'Period ledger'!$N$2:$N$81)</x:f>
        <x:v>11752606.080000004</x:v>
      </x:c>
      <x:c r="G12" s="20" t="n">
        <x:f>SUMIF('Period ledger'!$B$2:$B$81,A12,'Period ledger'!$V$2:$V$81)</x:f>
        <x:v>1764558.08</x:v>
      </x:c>
      <x:c r="H12" t="n">
        <x:f>COUNTIFS('Period ledger'!$B$2:$B$81,A12,'Period ledger'!$T$2:$T$81,"PASS")</x:f>
        <x:v>29</x:v>
      </x:c>
      <x:c r="I12" t="n">
        <x:f>COUNTIFS('Period ledger'!$B$2:$B$81,A12,'Period ledger'!$U$2:$U$81,"PASS")</x:f>
        <x:v>29</x:v>
      </x:c>
    </x:row>
    <x:row r="13">
      <x:c r="A13" s="12" t="str">
        <x:v>Total</x:v>
      </x:c>
      <x:c r="B13" s="12" t="n">
        <x:f>SUM(B11:B12)</x:f>
        <x:v>80</x:v>
      </x:c>
      <x:c r="C13" s="12" t="n">
        <x:f>SUM(C11:C12)</x:f>
        <x:v>3</x:v>
      </x:c>
      <x:c r="D13" s="12" t="n">
        <x:f>SUM(D11:D12)</x:f>
        <x:v>77</x:v>
      </x:c>
      <x:c r="E13" s="21" t="n">
        <x:f>SUM(E11:E12)</x:f>
        <x:v>29931672.22</x:v>
      </x:c>
      <x:c r="F13" s="21" t="n">
        <x:f>SUM(F11:F12)</x:f>
        <x:v>26108467.080000006</x:v>
      </x:c>
      <x:c r="G13" s="21" t="n">
        <x:f>SUM(G11:G12)</x:f>
        <x:v>3823205.1399999997</x:v>
      </x:c>
      <x:c r="H13" s="12" t="n">
        <x:f>SUM(H11:H12)</x:f>
        <x:v>80</x:v>
      </x:c>
      <x:c r="I13" s="12" t="n">
        <x:f>SUM(I11:I12)</x:f>
        <x:v>80</x:v>
      </x:c>
    </x:row>
    <x:row r="15">
      <x:c r="A15" s="16" t="str">
        <x:v>Interpretation: ABS-EE recoveredAmount is compared with the certificate aggregate net liquidation proceeds. Three periods tie exactly; the remaining 77 retain positive residuals totaling USD 3,823,205.14. The cause is not established. This difference is not LGD, loss, forecast, or an adjustment to be forced to zero.</x:v>
      </x:c>
      <x:c r="B15" s="16"/>
      <x:c r="C15" s="16"/>
      <x:c r="D15" s="16"/>
      <x:c r="E15" s="16"/>
      <x:c r="F15" s="16"/>
      <x:c r="G15" s="16"/>
      <x:c r="H15" s="16"/>
      <x:c r="I15" s="16"/>
    </x:row>
    <x:row r="16">
      <x:c r="A16" s="16"/>
      <x:c r="B16" s="16"/>
      <x:c r="C16" s="16"/>
      <x:c r="D16" s="16"/>
      <x:c r="E16" s="16"/>
      <x:c r="F16" s="16"/>
      <x:c r="G16" s="16"/>
      <x:c r="H16" s="16"/>
      <x:c r="I16" s="16"/>
    </x:row>
    <x:row r="17">
      <x:c r="A17" s="16"/>
      <x:c r="B17" s="16"/>
      <x:c r="C17" s="16"/>
      <x:c r="D17" s="16"/>
      <x:c r="E17" s="16"/>
      <x:c r="F17" s="16"/>
      <x:c r="G17" s="16"/>
      <x:c r="H17" s="16"/>
      <x:c r="I17" s="16"/>
    </x:row>
    <x:row r="18">
      <x:c r="A18" s="16"/>
      <x:c r="B18" s="16"/>
      <x:c r="C18" s="16"/>
      <x:c r="D18" s="16"/>
      <x:c r="E18" s="16"/>
      <x:c r="F18" s="16"/>
      <x:c r="G18" s="16"/>
      <x:c r="H18" s="16"/>
      <x:c r="I18" s="16"/>
    </x:row>
    <x:row r="20">
      <x:c r="A20" s="19" t="str">
        <x:v>Period caveat: the first reporting windows for both trusts cover March 1 through April 30 (61 calendar days). A report month label is not proof of a one-calendar-month collection window. See exact start/end dates on Period ledger.</x:v>
      </x:c>
      <x:c r="B20" s="19"/>
      <x:c r="C20" s="19"/>
      <x:c r="D20" s="19"/>
      <x:c r="E20" s="19"/>
      <x:c r="F20" s="19"/>
      <x:c r="G20" s="19"/>
      <x:c r="H20" s="19"/>
      <x:c r="I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</x:row>
  </x:sheetData>
  <x:mergeCells>
    <x:mergeCell ref="A1:I1"/>
    <x:mergeCell ref="A9:I9"/>
    <x:mergeCell ref="A15:I18"/>
    <x:mergeCell ref="A20:I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3" hidden="0" customWidth="1"/>
    <x:col min="8" max="8" width="14" hidden="0" customWidth="1"/>
    <x:col min="9" max="9" width="23" hidden="0" customWidth="1"/>
    <x:col min="10" max="10" width="23" hidden="0" customWidth="1"/>
    <x:col min="11" max="11" width="22" hidden="0" customWidth="1"/>
    <x:col min="12" max="12" width="25" hidden="0" customWidth="1"/>
    <x:col min="13" max="13" width="28" hidden="0" customWidth="1"/>
    <x:col min="14" max="14" width="26" hidden="0" customWidth="1"/>
    <x:col min="15" max="15" width="19" hidden="0" customWidth="1"/>
    <x:col min="16" max="16" width="30" hidden="0" customWidth="1"/>
    <x:col min="17" max="17" width="23" hidden="0" customWidth="1"/>
    <x:col min="18" max="18" width="23" hidden="0" customWidth="1"/>
    <x:col min="19" max="19" width="23" hidden="0" customWidth="1"/>
    <x:col min="20" max="20" width="21" hidden="0" customWidth="1"/>
    <x:col min="21" max="21" width="18" hidden="0" customWidth="1"/>
    <x:col min="22" max="22" width="23" hidden="0" customWidth="1"/>
    <x:col min="23" max="23" width="18" hidden="0" customWidth="1"/>
    <x:col min="24" max="24" width="76" hidden="0" customWidth="1"/>
    <x:col min="25" max="25" width="80" hidden="0" customWidth="1"/>
    <x:col min="26" max="26" width="70" hidden="0" customWidth="1"/>
  </x:cols>
  <x:sheetData>
    <x:row r="1" ht="48" customHeight="1">
      <x:c r="A1" s="25" t="str">
        <x:v>Exception ID</x:v>
      </x:c>
      <x:c r="B1" s="25" t="str">
        <x:v>Deal</x:v>
      </x:c>
      <x:c r="C1" s="25" t="str">
        <x:v>Report month</x:v>
      </x:c>
      <x:c r="D1" s="25" t="str">
        <x:v>Report date</x:v>
      </x:c>
      <x:c r="E1" s="25" t="str">
        <x:v>Collection period start</x:v>
      </x:c>
      <x:c r="F1" s="25" t="str">
        <x:v>Collection period end</x:v>
      </x:c>
      <x:c r="G1" s="25" t="str">
        <x:v>Calendar days</x:v>
      </x:c>
      <x:c r="H1" s="25" t="str">
        <x:v>Filing date</x:v>
      </x:c>
      <x:c r="I1" s="25" t="str">
        <x:v>ABS-EE accession</x:v>
      </x:c>
      <x:c r="J1" s="25" t="str">
        <x:v>10-D accession</x:v>
      </x:c>
      <x:c r="K1" s="25" t="str">
        <x:v>ABS-EE recoveredAmount sum (USD)</x:v>
      </x:c>
      <x:c r="L1" s="25" t="str">
        <x:v>Certificate net liquidation proceeds (signed USD)</x:v>
      </x:c>
      <x:c r="M1" s="25" t="str">
        <x:v>Certificate recoveries on prior liquidations (signed USD)</x:v>
      </x:c>
      <x:c r="N1" s="25" t="str">
        <x:v>Certificate aggregate net liquidation proceeds (USD)</x:v>
      </x:c>
      <x:c r="O1" s="25" t="str">
        <x:v>Gross principal liquidated (USD)</x:v>
      </x:c>
      <x:c r="P1" s="25" t="str">
        <x:v>Repurchased previously charged-off principal (signed USD)</x:v>
      </x:c>
      <x:c r="Q1" s="25" t="str">
        <x:v>Certificate net credit losses (USD)</x:v>
      </x:c>
      <x:c r="R1" s="25" t="str">
        <x:v>Certificate recovery bridge check (USD)</x:v>
      </x:c>
      <x:c r="S1" s="25" t="str">
        <x:v>Certificate net-loss bridge check (USD)</x:v>
      </x:c>
      <x:c r="T1" s="25" t="str">
        <x:v>Recovery component identity</x:v>
      </x:c>
      <x:c r="U1" s="25" t="str">
        <x:v>Net-loss identity</x:v>
      </x:c>
      <x:c r="V1" s="25" t="str">
        <x:v>ABS-EE minus certificate (USD)</x:v>
      </x:c>
      <x:c r="W1" s="25" t="str">
        <x:v>Reconciliation status</x:v>
      </x:c>
      <x:c r="X1" s="25" t="str">
        <x:v>Exception note</x:v>
      </x:c>
      <x:c r="Y1" s="25" t="str">
        <x:v>Certificate filing URL</x:v>
      </x:c>
      <x:c r="Z1" s="25" t="str">
        <x:v>Certificate SHA-256</x:v>
      </x:c>
    </x:row>
    <x:row r="2">
      <x:c r="A2" s="27" t="str">
        <x:v>TOYOTA-2022-B-2022-04</x:v>
      </x:c>
      <x:c r="B2" s="27" t="str">
        <x:v>2022-B</x:v>
      </x:c>
      <x:c r="C2" s="27" t="str">
        <x:v>2022-04</x:v>
      </x:c>
      <x:c r="D2" s="27" t="str">
        <x:v>2022-04-30</x:v>
      </x:c>
      <x:c r="E2" s="27" t="str">
        <x:v>2022-03-01</x:v>
      </x:c>
      <x:c r="F2" s="27" t="str">
        <x:v>2022-04-30</x:v>
      </x:c>
      <x:c r="G2" s="28" t="n">
        <x:v>61</x:v>
      </x:c>
      <x:c r="H2" s="27" t="str">
        <x:v>2022-05-26</x:v>
      </x:c>
      <x:c r="I2" s="27" t="str">
        <x:v>0000950131-22-002460</x:v>
      </x:c>
      <x:c r="J2" s="27" t="str">
        <x:v>0000950131-22-002459</x:v>
      </x:c>
      <x:c r="K2" s="29" t="n">
        <x:v>32084.17</x:v>
      </x:c>
      <x:c r="L2" s="29" t="n">
        <x:v>-32084.17</x:v>
      </x:c>
      <x:c r="M2" s="29" t="n">
        <x:v>0</x:v>
      </x:c>
      <x:c r="N2" s="29" t="n">
        <x:v>32084.17</x:v>
      </x:c>
      <x:c r="O2" s="29" t="n">
        <x:v>36616.55</x:v>
      </x:c>
      <x:c r="P2" s="29" t="n">
        <x:v>0</x:v>
      </x:c>
      <x:c r="Q2" s="29" t="n">
        <x:v>4532.38</x:v>
      </x:c>
      <x:c r="R2" s="29" t="n">
        <x:v>0</x:v>
      </x:c>
      <x:c r="S2" s="29" t="n">
        <x:v>0</x:v>
      </x:c>
      <x:c r="T2" s="27" t="str">
        <x:v>PASS</x:v>
      </x:c>
      <x:c r="U2" s="27" t="str">
        <x:v>PASS</x:v>
      </x:c>
      <x:c r="V2" s="29" t="n">
        <x:v>0</x:v>
      </x:c>
      <x:c r="W2" s="27" t="str">
        <x:v>TIED</x:v>
      </x:c>
      <x:c r="X2" s="27" t="str">
        <x:v>Residual retained; public certificate sources do not attribute this ABS-EE aggregate delta to a timing, population, correction, or classification component.</x:v>
      </x:c>
      <x:c r="Y2" s="27" t="str">
        <x:v>https://www.sec.gov/Archives/edgar/data/1914281/000095013122002459/d346874dex991.htm</x:v>
      </x:c>
      <x:c r="Z2" s="27" t="str">
        <x:v>bd2cc0924db48f4ea8c9c991c13652c2bb571069c055c3c3c3eff7b07587e685</x:v>
      </x:c>
    </x:row>
    <x:row r="3">
      <x:c r="A3" s="27" t="str">
        <x:v>TOYOTA-2022-B-2022-05</x:v>
      </x:c>
      <x:c r="B3" s="27" t="str">
        <x:v>2022-B</x:v>
      </x:c>
      <x:c r="C3" s="27" t="str">
        <x:v>2022-05</x:v>
      </x:c>
      <x:c r="D3" s="27" t="str">
        <x:v>2022-05-31</x:v>
      </x:c>
      <x:c r="E3" s="27" t="str">
        <x:v>2022-05-01</x:v>
      </x:c>
      <x:c r="F3" s="27" t="str">
        <x:v>2022-05-31</x:v>
      </x:c>
      <x:c r="G3" s="28" t="n">
        <x:v>31</x:v>
      </x:c>
      <x:c r="H3" s="27" t="str">
        <x:v>2022-06-28</x:v>
      </x:c>
      <x:c r="I3" s="27" t="str">
        <x:v>0000950131-22-002911</x:v>
      </x:c>
      <x:c r="J3" s="27" t="str">
        <x:v>0000950131-22-002909</x:v>
      </x:c>
      <x:c r="K3" s="29" t="n">
        <x:v>34046.35</x:v>
      </x:c>
      <x:c r="L3" s="29" t="n">
        <x:v>-32237.32</x:v>
      </x:c>
      <x:c r="M3" s="29" t="n">
        <x:v>-1809.03</x:v>
      </x:c>
      <x:c r="N3" s="29" t="n">
        <x:v>34046.35</x:v>
      </x:c>
      <x:c r="O3" s="29" t="n">
        <x:v>107880.01</x:v>
      </x:c>
      <x:c r="P3" s="29" t="n">
        <x:v>0</x:v>
      </x:c>
      <x:c r="Q3" s="29" t="n">
        <x:v>73833.66</x:v>
      </x:c>
      <x:c r="R3" s="29" t="n">
        <x:v>0</x:v>
      </x:c>
      <x:c r="S3" s="29" t="n">
        <x:v>0</x:v>
      </x:c>
      <x:c r="T3" s="27" t="str">
        <x:v>PASS</x:v>
      </x:c>
      <x:c r="U3" s="27" t="str">
        <x:v>PASS</x:v>
      </x:c>
      <x:c r="V3" s="29" t="n">
        <x:v>0</x:v>
      </x:c>
      <x:c r="W3" s="27" t="str">
        <x:v>TIED</x:v>
      </x:c>
      <x:c r="X3" s="27" t="str">
        <x:v>Residual retained; public certificate sources do not attribute this ABS-EE aggregate delta to a timing, population, correction, or classification component.</x:v>
      </x:c>
      <x:c r="Y3" s="27" t="str">
        <x:v>https://www.sec.gov/Archives/edgar/data/1914281/000095013122002909/d257209dex991.htm</x:v>
      </x:c>
      <x:c r="Z3" s="27" t="str">
        <x:v>d8c146f9d320eeeb60a6334b97da13cbe932ab4dd8ea978f3ac9d2cd7430b5e8</x:v>
      </x:c>
    </x:row>
    <x:row r="4">
      <x:c r="A4" s="27" t="str">
        <x:v>TOYOTA-2022-B-2022-06</x:v>
      </x:c>
      <x:c r="B4" s="27" t="str">
        <x:v>2022-B</x:v>
      </x:c>
      <x:c r="C4" s="27" t="str">
        <x:v>2022-06</x:v>
      </x:c>
      <x:c r="D4" s="27" t="str">
        <x:v>2022-06-30</x:v>
      </x:c>
      <x:c r="E4" s="27" t="str">
        <x:v>2022-06-01</x:v>
      </x:c>
      <x:c r="F4" s="27" t="str">
        <x:v>2022-06-30</x:v>
      </x:c>
      <x:c r="G4" s="28" t="n">
        <x:v>30</x:v>
      </x:c>
      <x:c r="H4" s="27" t="str">
        <x:v>2022-07-27</x:v>
      </x:c>
      <x:c r="I4" s="27" t="str">
        <x:v>0000950131-22-003354</x:v>
      </x:c>
      <x:c r="J4" s="27" t="str">
        <x:v>0000950131-22-003347</x:v>
      </x:c>
      <x:c r="K4" s="29" t="n">
        <x:v>31919.82</x:v>
      </x:c>
      <x:c r="L4" s="29" t="n">
        <x:v>-21648.12</x:v>
      </x:c>
      <x:c r="M4" s="29" t="n">
        <x:v>-7994.1</x:v>
      </x:c>
      <x:c r="N4" s="29" t="n">
        <x:v>29642.22</x:v>
      </x:c>
      <x:c r="O4" s="29" t="n">
        <x:v>340573.79</x:v>
      </x:c>
      <x:c r="P4" s="29" t="n">
        <x:v>0</x:v>
      </x:c>
      <x:c r="Q4" s="29" t="n">
        <x:v>310931.57</x:v>
      </x:c>
      <x:c r="R4" s="29" t="n">
        <x:v>0</x:v>
      </x:c>
      <x:c r="S4" s="29" t="n">
        <x:v>0</x:v>
      </x:c>
      <x:c r="T4" s="27" t="str">
        <x:v>PASS</x:v>
      </x:c>
      <x:c r="U4" s="27" t="str">
        <x:v>PASS</x:v>
      </x:c>
      <x:c r="V4" s="29" t="n">
        <x:v>2277.6</x:v>
      </x:c>
      <x:c r="W4" s="27" t="str">
        <x:v>UNRESOLVED</x:v>
      </x:c>
      <x:c r="X4" s="27" t="str">
        <x:v>Residual retained; public certificate sources do not attribute this ABS-EE aggregate delta to a timing, population, correction, or classification component.</x:v>
      </x:c>
      <x:c r="Y4" s="27" t="str">
        <x:v>https://www.sec.gov/Archives/edgar/data/1914281/000095013122003347/d383914dex991.htm</x:v>
      </x:c>
      <x:c r="Z4" s="27" t="str">
        <x:v>99a4c56b1c1feac2efef9a6fef3fca6b3acab18c358ced0908d5fc6d78a83f83</x:v>
      </x:c>
    </x:row>
    <x:row r="5">
      <x:c r="A5" s="27" t="str">
        <x:v>TOYOTA-2022-B-2022-07</x:v>
      </x:c>
      <x:c r="B5" s="27" t="str">
        <x:v>2022-B</x:v>
      </x:c>
      <x:c r="C5" s="27" t="str">
        <x:v>2022-07</x:v>
      </x:c>
      <x:c r="D5" s="27" t="str">
        <x:v>2022-07-31</x:v>
      </x:c>
      <x:c r="E5" s="27" t="str">
        <x:v>2022-07-01</x:v>
      </x:c>
      <x:c r="F5" s="27" t="str">
        <x:v>2022-07-31</x:v>
      </x:c>
      <x:c r="G5" s="28" t="n">
        <x:v>31</x:v>
      </x:c>
      <x:c r="H5" s="27" t="str">
        <x:v>2022-08-29</x:v>
      </x:c>
      <x:c r="I5" s="27" t="str">
        <x:v>0000950131-22-003870</x:v>
      </x:c>
      <x:c r="J5" s="27" t="str">
        <x:v>0000950131-22-003864</x:v>
      </x:c>
      <x:c r="K5" s="29" t="n">
        <x:v>147280.97</x:v>
      </x:c>
      <x:c r="L5" s="29" t="n">
        <x:v>-129133.99</x:v>
      </x:c>
      <x:c r="M5" s="29" t="n">
        <x:v>-2330.08</x:v>
      </x:c>
      <x:c r="N5" s="29" t="n">
        <x:v>131464.07</x:v>
      </x:c>
      <x:c r="O5" s="29" t="n">
        <x:v>435692.38</x:v>
      </x:c>
      <x:c r="P5" s="29" t="n">
        <x:v>0</x:v>
      </x:c>
      <x:c r="Q5" s="29" t="n">
        <x:v>304228.31</x:v>
      </x:c>
      <x:c r="R5" s="29" t="n">
        <x:v>0</x:v>
      </x:c>
      <x:c r="S5" s="29" t="n">
        <x:v>0</x:v>
      </x:c>
      <x:c r="T5" s="27" t="str">
        <x:v>PASS</x:v>
      </x:c>
      <x:c r="U5" s="27" t="str">
        <x:v>PASS</x:v>
      </x:c>
      <x:c r="V5" s="29" t="n">
        <x:v>15816.9</x:v>
      </x:c>
      <x:c r="W5" s="27" t="str">
        <x:v>UNRESOLVED</x:v>
      </x:c>
      <x:c r="X5" s="27" t="str">
        <x:v>Residual retained; public certificate sources do not attribute this ABS-EE aggregate delta to a timing, population, correction, or classification component.</x:v>
      </x:c>
      <x:c r="Y5" s="27" t="str">
        <x:v>https://www.sec.gov/Archives/edgar/data/1914281/000095013122003864/d385005dex991.htm</x:v>
      </x:c>
      <x:c r="Z5" s="27" t="str">
        <x:v>33ef1cf5bed5904fa253beeaf062f12b82240b76da6b354e21ecbcb73da85c6f</x:v>
      </x:c>
    </x:row>
    <x:row r="6">
      <x:c r="A6" s="27" t="str">
        <x:v>TOYOTA-2022-B-2022-08</x:v>
      </x:c>
      <x:c r="B6" s="27" t="str">
        <x:v>2022-B</x:v>
      </x:c>
      <x:c r="C6" s="27" t="str">
        <x:v>2022-08</x:v>
      </x:c>
      <x:c r="D6" s="27" t="str">
        <x:v>2022-08-31</x:v>
      </x:c>
      <x:c r="E6" s="27" t="str">
        <x:v>2022-08-01</x:v>
      </x:c>
      <x:c r="F6" s="27" t="str">
        <x:v>2022-08-31</x:v>
      </x:c>
      <x:c r="G6" s="28" t="n">
        <x:v>31</x:v>
      </x:c>
      <x:c r="H6" s="27" t="str">
        <x:v>2022-09-28</x:v>
      </x:c>
      <x:c r="I6" s="27" t="str">
        <x:v>0000950131-22-004397</x:v>
      </x:c>
      <x:c r="J6" s="27" t="str">
        <x:v>0000950131-22-004390</x:v>
      </x:c>
      <x:c r="K6" s="29" t="n">
        <x:v>175677.77</x:v>
      </x:c>
      <x:c r="L6" s="29" t="n">
        <x:v>-73999.67</x:v>
      </x:c>
      <x:c r="M6" s="29" t="n">
        <x:v>-90517.96</x:v>
      </x:c>
      <x:c r="N6" s="29" t="n">
        <x:v>164517.63</x:v>
      </x:c>
      <x:c r="O6" s="29" t="n">
        <x:v>718859.44</x:v>
      </x:c>
      <x:c r="P6" s="29" t="n">
        <x:v>0</x:v>
      </x:c>
      <x:c r="Q6" s="29" t="n">
        <x:v>554341.81</x:v>
      </x:c>
      <x:c r="R6" s="29" t="n">
        <x:v>0</x:v>
      </x:c>
      <x:c r="S6" s="29" t="n">
        <x:v>0</x:v>
      </x:c>
      <x:c r="T6" s="27" t="str">
        <x:v>PASS</x:v>
      </x:c>
      <x:c r="U6" s="27" t="str">
        <x:v>PASS</x:v>
      </x:c>
      <x:c r="V6" s="29" t="n">
        <x:v>11160.14</x:v>
      </x:c>
      <x:c r="W6" s="27" t="str">
        <x:v>UNRESOLVED</x:v>
      </x:c>
      <x:c r="X6" s="27" t="str">
        <x:v>Residual retained; public certificate sources do not attribute this ABS-EE aggregate delta to a timing, population, correction, or classification component.</x:v>
      </x:c>
      <x:c r="Y6" s="27" t="str">
        <x:v>https://www.sec.gov/Archives/edgar/data/1914281/000095013122004390/d404251dex991.htm</x:v>
      </x:c>
      <x:c r="Z6" s="27" t="str">
        <x:v>f18e914a238313a81b3229a23b16bad48bc8f3d54dd277ad98256b45e8ebeab8</x:v>
      </x:c>
    </x:row>
    <x:row r="7">
      <x:c r="A7" s="27" t="str">
        <x:v>TOYOTA-2022-B-2022-09</x:v>
      </x:c>
      <x:c r="B7" s="27" t="str">
        <x:v>2022-B</x:v>
      </x:c>
      <x:c r="C7" s="27" t="str">
        <x:v>2022-09</x:v>
      </x:c>
      <x:c r="D7" s="27" t="str">
        <x:v>2022-09-30</x:v>
      </x:c>
      <x:c r="E7" s="27" t="str">
        <x:v>2022-09-01</x:v>
      </x:c>
      <x:c r="F7" s="27" t="str">
        <x:v>2022-09-30</x:v>
      </x:c>
      <x:c r="G7" s="28" t="n">
        <x:v>30</x:v>
      </x:c>
      <x:c r="H7" s="27" t="str">
        <x:v>2022-10-27</x:v>
      </x:c>
      <x:c r="I7" s="27" t="str">
        <x:v>0000950131-22-004890</x:v>
      </x:c>
      <x:c r="J7" s="27" t="str">
        <x:v>0000950131-22-004883</x:v>
      </x:c>
      <x:c r="K7" s="29" t="n">
        <x:v>330121.68</x:v>
      </x:c>
      <x:c r="L7" s="29" t="n">
        <x:v>-102518.1</x:v>
      </x:c>
      <x:c r="M7" s="29" t="n">
        <x:v>-215664.6</x:v>
      </x:c>
      <x:c r="N7" s="29" t="n">
        <x:v>318182.7</x:v>
      </x:c>
      <x:c r="O7" s="29" t="n">
        <x:v>553638.96</x:v>
      </x:c>
      <x:c r="P7" s="29" t="n">
        <x:v>0</x:v>
      </x:c>
      <x:c r="Q7" s="29" t="n">
        <x:v>235456.26</x:v>
      </x:c>
      <x:c r="R7" s="29" t="n">
        <x:v>0</x:v>
      </x:c>
      <x:c r="S7" s="29" t="n">
        <x:v>0</x:v>
      </x:c>
      <x:c r="T7" s="27" t="str">
        <x:v>PASS</x:v>
      </x:c>
      <x:c r="U7" s="27" t="str">
        <x:v>PASS</x:v>
      </x:c>
      <x:c r="V7" s="29" t="n">
        <x:v>11938.98</x:v>
      </x:c>
      <x:c r="W7" s="27" t="str">
        <x:v>UNRESOLVED</x:v>
      </x:c>
      <x:c r="X7" s="27" t="str">
        <x:v>Residual retained; public certificate sources do not attribute this ABS-EE aggregate delta to a timing, population, correction, or classification component.</x:v>
      </x:c>
      <x:c r="Y7" s="27" t="str">
        <x:v>https://www.sec.gov/Archives/edgar/data/1914281/000095013122004883/d289133dex991.htm</x:v>
      </x:c>
      <x:c r="Z7" s="27" t="str">
        <x:v>8f23a98d49eff27c9420eaf100ae96c4f0f23ef8f74bfef0c3d34faf88d6e0f5</x:v>
      </x:c>
    </x:row>
    <x:row r="8">
      <x:c r="A8" s="27" t="str">
        <x:v>TOYOTA-2022-B-2022-10</x:v>
      </x:c>
      <x:c r="B8" s="27" t="str">
        <x:v>2022-B</x:v>
      </x:c>
      <x:c r="C8" s="27" t="str">
        <x:v>2022-10</x:v>
      </x:c>
      <x:c r="D8" s="27" t="str">
        <x:v>2022-10-31</x:v>
      </x:c>
      <x:c r="E8" s="27" t="str">
        <x:v>2022-10-01</x:v>
      </x:c>
      <x:c r="F8" s="27" t="str">
        <x:v>2022-10-31</x:v>
      </x:c>
      <x:c r="G8" s="28" t="n">
        <x:v>31</x:v>
      </x:c>
      <x:c r="H8" s="27" t="str">
        <x:v>2022-11-28</x:v>
      </x:c>
      <x:c r="I8" s="27" t="str">
        <x:v>0000950131-22-005379</x:v>
      </x:c>
      <x:c r="J8" s="27" t="str">
        <x:v>0000950131-22-005378</x:v>
      </x:c>
      <x:c r="K8" s="29" t="n">
        <x:v>291245.19</x:v>
      </x:c>
      <x:c r="L8" s="29" t="n">
        <x:v>-125532.7</x:v>
      </x:c>
      <x:c r="M8" s="29" t="n">
        <x:v>-137685.81</x:v>
      </x:c>
      <x:c r="N8" s="29" t="n">
        <x:v>263218.51</x:v>
      </x:c>
      <x:c r="O8" s="29" t="n">
        <x:v>545023.67</x:v>
      </x:c>
      <x:c r="P8" s="29" t="n">
        <x:v>0</x:v>
      </x:c>
      <x:c r="Q8" s="29" t="n">
        <x:v>281805.16</x:v>
      </x:c>
      <x:c r="R8" s="29" t="n">
        <x:v>0</x:v>
      </x:c>
      <x:c r="S8" s="29" t="n">
        <x:v>0</x:v>
      </x:c>
      <x:c r="T8" s="27" t="str">
        <x:v>PASS</x:v>
      </x:c>
      <x:c r="U8" s="27" t="str">
        <x:v>PASS</x:v>
      </x:c>
      <x:c r="V8" s="29" t="n">
        <x:v>28026.68</x:v>
      </x:c>
      <x:c r="W8" s="27" t="str">
        <x:v>UNRESOLVED</x:v>
      </x:c>
      <x:c r="X8" s="27" t="str">
        <x:v>Residual retained; public certificate sources do not attribute this ABS-EE aggregate delta to a timing, population, correction, or classification component.</x:v>
      </x:c>
      <x:c r="Y8" s="27" t="str">
        <x:v>https://www.sec.gov/Archives/edgar/data/1914281/000095013122005378/d421573dex991.htm</x:v>
      </x:c>
      <x:c r="Z8" s="27" t="str">
        <x:v>d716e102be2572e85ac399142303d931ceb57b7211020470059d8fb2a9565cd3</x:v>
      </x:c>
    </x:row>
    <x:row r="9">
      <x:c r="A9" s="27" t="str">
        <x:v>TOYOTA-2022-B-2022-11</x:v>
      </x:c>
      <x:c r="B9" s="27" t="str">
        <x:v>2022-B</x:v>
      </x:c>
      <x:c r="C9" s="27" t="str">
        <x:v>2022-11</x:v>
      </x:c>
      <x:c r="D9" s="27" t="str">
        <x:v>2022-11-30</x:v>
      </x:c>
      <x:c r="E9" s="27" t="str">
        <x:v>2022-11-01</x:v>
      </x:c>
      <x:c r="F9" s="27" t="str">
        <x:v>2022-11-30</x:v>
      </x:c>
      <x:c r="G9" s="28" t="n">
        <x:v>30</x:v>
      </x:c>
      <x:c r="H9" s="27" t="str">
        <x:v>2022-12-22</x:v>
      </x:c>
      <x:c r="I9" s="27" t="str">
        <x:v>0000950131-22-005791</x:v>
      </x:c>
      <x:c r="J9" s="27" t="str">
        <x:v>0000950131-22-005787</x:v>
      </x:c>
      <x:c r="K9" s="29" t="n">
        <x:v>314036.51</x:v>
      </x:c>
      <x:c r="L9" s="29" t="n">
        <x:v>-66010.81</x:v>
      </x:c>
      <x:c r="M9" s="29" t="n">
        <x:v>-222081.72</x:v>
      </x:c>
      <x:c r="N9" s="29" t="n">
        <x:v>288092.53</x:v>
      </x:c>
      <x:c r="O9" s="29" t="n">
        <x:v>541018.33</x:v>
      </x:c>
      <x:c r="P9" s="29" t="n">
        <x:v>0</x:v>
      </x:c>
      <x:c r="Q9" s="29" t="n">
        <x:v>252925.8</x:v>
      </x:c>
      <x:c r="R9" s="29" t="n">
        <x:v>0</x:v>
      </x:c>
      <x:c r="S9" s="29" t="n">
        <x:v>0</x:v>
      </x:c>
      <x:c r="T9" s="27" t="str">
        <x:v>PASS</x:v>
      </x:c>
      <x:c r="U9" s="27" t="str">
        <x:v>PASS</x:v>
      </x:c>
      <x:c r="V9" s="29" t="n">
        <x:v>25943.98</x:v>
      </x:c>
      <x:c r="W9" s="27" t="str">
        <x:v>UNRESOLVED</x:v>
      </x:c>
      <x:c r="X9" s="27" t="str">
        <x:v>Residual retained; public certificate sources do not attribute this ABS-EE aggregate delta to a timing, population, correction, or classification component.</x:v>
      </x:c>
      <x:c r="Y9" s="27" t="str">
        <x:v>https://www.sec.gov/Archives/edgar/data/1914281/000095013122005787/d267621dex991.htm</x:v>
      </x:c>
      <x:c r="Z9" s="27" t="str">
        <x:v>da084042c956fca517a4695e83dcb3b751a504abb9f44cbbb632f3b842ed5383</x:v>
      </x:c>
    </x:row>
    <x:row r="10">
      <x:c r="A10" s="27" t="str">
        <x:v>TOYOTA-2022-B-2022-12</x:v>
      </x:c>
      <x:c r="B10" s="27" t="str">
        <x:v>2022-B</x:v>
      </x:c>
      <x:c r="C10" s="27" t="str">
        <x:v>2022-12</x:v>
      </x:c>
      <x:c r="D10" s="27" t="str">
        <x:v>2022-12-31</x:v>
      </x:c>
      <x:c r="E10" s="27" t="str">
        <x:v>2022-12-01</x:v>
      </x:c>
      <x:c r="F10" s="27" t="str">
        <x:v>2022-12-31</x:v>
      </x:c>
      <x:c r="G10" s="28" t="n">
        <x:v>31</x:v>
      </x:c>
      <x:c r="H10" s="27" t="str">
        <x:v>2023-01-27</x:v>
      </x:c>
      <x:c r="I10" s="27" t="str">
        <x:v>0000950131-23-000397</x:v>
      </x:c>
      <x:c r="J10" s="27" t="str">
        <x:v>0000950131-23-000393</x:v>
      </x:c>
      <x:c r="K10" s="29" t="n">
        <x:v>206404.25</x:v>
      </x:c>
      <x:c r="L10" s="29" t="n">
        <x:v>-28151.82</x:v>
      </x:c>
      <x:c r="M10" s="29" t="n">
        <x:v>-151940.87</x:v>
      </x:c>
      <x:c r="N10" s="29" t="n">
        <x:v>180092.69</x:v>
      </x:c>
      <x:c r="O10" s="29" t="n">
        <x:v>679916.56</x:v>
      </x:c>
      <x:c r="P10" s="29" t="n">
        <x:v>0</x:v>
      </x:c>
      <x:c r="Q10" s="29" t="n">
        <x:v>499823.87</x:v>
      </x:c>
      <x:c r="R10" s="29" t="n">
        <x:v>0</x:v>
      </x:c>
      <x:c r="S10" s="29" t="n">
        <x:v>0</x:v>
      </x:c>
      <x:c r="T10" s="27" t="str">
        <x:v>PASS</x:v>
      </x:c>
      <x:c r="U10" s="27" t="str">
        <x:v>PASS</x:v>
      </x:c>
      <x:c r="V10" s="29" t="n">
        <x:v>26311.56</x:v>
      </x:c>
      <x:c r="W10" s="27" t="str">
        <x:v>UNRESOLVED</x:v>
      </x:c>
      <x:c r="X10" s="27" t="str">
        <x:v>Residual retained; public certificate sources do not attribute this ABS-EE aggregate delta to a timing, population, correction, or classification component.</x:v>
      </x:c>
      <x:c r="Y10" s="27" t="str">
        <x:v>https://www.sec.gov/Archives/edgar/data/1914281/000095013123000393/d437652dex991.htm</x:v>
      </x:c>
      <x:c r="Z10" s="27" t="str">
        <x:v>5c6aca01cbc4536410640bb4fd1af3560b8a8f0d686cc050587bb625fe173fcb</x:v>
      </x:c>
    </x:row>
    <x:row r="11">
      <x:c r="A11" s="27" t="str">
        <x:v>TOYOTA-2022-B-2023-01</x:v>
      </x:c>
      <x:c r="B11" s="27" t="str">
        <x:v>2022-B</x:v>
      </x:c>
      <x:c r="C11" s="27" t="str">
        <x:v>2023-01</x:v>
      </x:c>
      <x:c r="D11" s="27" t="str">
        <x:v>2023-01-31</x:v>
      </x:c>
      <x:c r="E11" s="27" t="str">
        <x:v>2023-01-01</x:v>
      </x:c>
      <x:c r="F11" s="27" t="str">
        <x:v>2023-01-31</x:v>
      </x:c>
      <x:c r="G11" s="28" t="n">
        <x:v>31</x:v>
      </x:c>
      <x:c r="H11" s="27" t="str">
        <x:v>2023-02-24</x:v>
      </x:c>
      <x:c r="I11" s="27" t="str">
        <x:v>0000950131-23-000849</x:v>
      </x:c>
      <x:c r="J11" s="27" t="str">
        <x:v>0000950131-23-000844</x:v>
      </x:c>
      <x:c r="K11" s="29" t="n">
        <x:v>265116.81</x:v>
      </x:c>
      <x:c r="L11" s="29" t="n">
        <x:v>-21727.54</x:v>
      </x:c>
      <x:c r="M11" s="29" t="n">
        <x:v>-215246.09</x:v>
      </x:c>
      <x:c r="N11" s="29" t="n">
        <x:v>236973.63</x:v>
      </x:c>
      <x:c r="O11" s="29" t="n">
        <x:v>1016436.03</x:v>
      </x:c>
      <x:c r="P11" s="29" t="n">
        <x:v>0</x:v>
      </x:c>
      <x:c r="Q11" s="29" t="n">
        <x:v>779462.4</x:v>
      </x:c>
      <x:c r="R11" s="29" t="n">
        <x:v>0</x:v>
      </x:c>
      <x:c r="S11" s="29" t="n">
        <x:v>0</x:v>
      </x:c>
      <x:c r="T11" s="27" t="str">
        <x:v>PASS</x:v>
      </x:c>
      <x:c r="U11" s="27" t="str">
        <x:v>PASS</x:v>
      </x:c>
      <x:c r="V11" s="29" t="n">
        <x:v>28143.18</x:v>
      </x:c>
      <x:c r="W11" s="27" t="str">
        <x:v>UNRESOLVED</x:v>
      </x:c>
      <x:c r="X11" s="27" t="str">
        <x:v>Residual retained; public certificate sources do not attribute this ABS-EE aggregate delta to a timing, population, correction, or classification component.</x:v>
      </x:c>
      <x:c r="Y11" s="27" t="str">
        <x:v>https://www.sec.gov/Archives/edgar/data/1914281/000095013123000844/d453292dex991.htm</x:v>
      </x:c>
      <x:c r="Z11" s="27" t="str">
        <x:v>97f50d196492fd10e35174554b34be133ce88e665c034b4b6339dcf4c09be6d7</x:v>
      </x:c>
    </x:row>
    <x:row r="12">
      <x:c r="A12" s="27" t="str">
        <x:v>TOYOTA-2022-B-2023-02</x:v>
      </x:c>
      <x:c r="B12" s="27" t="str">
        <x:v>2022-B</x:v>
      </x:c>
      <x:c r="C12" s="27" t="str">
        <x:v>2023-02</x:v>
      </x:c>
      <x:c r="D12" s="27" t="str">
        <x:v>2023-02-28</x:v>
      </x:c>
      <x:c r="E12" s="27" t="str">
        <x:v>2023-02-01</x:v>
      </x:c>
      <x:c r="F12" s="27" t="str">
        <x:v>2023-02-28</x:v>
      </x:c>
      <x:c r="G12" s="28" t="n">
        <x:v>28</x:v>
      </x:c>
      <x:c r="H12" s="27" t="str">
        <x:v>2023-03-29</x:v>
      </x:c>
      <x:c r="I12" s="27" t="str">
        <x:v>0000950131-23-001297</x:v>
      </x:c>
      <x:c r="J12" s="27" t="str">
        <x:v>0000950131-23-001293</x:v>
      </x:c>
      <x:c r="K12" s="29" t="n">
        <x:v>309830.8</x:v>
      </x:c>
      <x:c r="L12" s="29" t="n">
        <x:v>-17034.74</x:v>
      </x:c>
      <x:c r="M12" s="29" t="n">
        <x:v>-246350.3</x:v>
      </x:c>
      <x:c r="N12" s="29" t="n">
        <x:v>263385.04</x:v>
      </x:c>
      <x:c r="O12" s="29" t="n">
        <x:v>515003.82</x:v>
      </x:c>
      <x:c r="P12" s="29" t="n">
        <x:v>0</x:v>
      </x:c>
      <x:c r="Q12" s="29" t="n">
        <x:v>251618.78</x:v>
      </x:c>
      <x:c r="R12" s="29" t="n">
        <x:v>0</x:v>
      </x:c>
      <x:c r="S12" s="29" t="n">
        <x:v>0</x:v>
      </x:c>
      <x:c r="T12" s="27" t="str">
        <x:v>PASS</x:v>
      </x:c>
      <x:c r="U12" s="27" t="str">
        <x:v>PASS</x:v>
      </x:c>
      <x:c r="V12" s="29" t="n">
        <x:v>46445.76</x:v>
      </x:c>
      <x:c r="W12" s="27" t="str">
        <x:v>UNRESOLVED</x:v>
      </x:c>
      <x:c r="X12" s="27" t="str">
        <x:v>Residual retained; public certificate sources do not attribute this ABS-EE aggregate delta to a timing, population, correction, or classification component.</x:v>
      </x:c>
      <x:c r="Y12" s="27" t="str">
        <x:v>https://www.sec.gov/Archives/edgar/data/1914281/000095013123001293/d472362dex991.htm</x:v>
      </x:c>
      <x:c r="Z12" s="27" t="str">
        <x:v>90a10b1e2f8e3b47a3c9c52c1c95492a92f212f698e441a660faf62db6d15ef4</x:v>
      </x:c>
    </x:row>
    <x:row r="13">
      <x:c r="A13" s="27" t="str">
        <x:v>TOYOTA-2022-B-2023-03</x:v>
      </x:c>
      <x:c r="B13" s="27" t="str">
        <x:v>2022-B</x:v>
      </x:c>
      <x:c r="C13" s="27" t="str">
        <x:v>2023-03</x:v>
      </x:c>
      <x:c r="D13" s="27" t="str">
        <x:v>2023-03-31</x:v>
      </x:c>
      <x:c r="E13" s="27" t="str">
        <x:v>2023-03-01</x:v>
      </x:c>
      <x:c r="F13" s="27" t="str">
        <x:v>2023-03-31</x:v>
      </x:c>
      <x:c r="G13" s="28" t="n">
        <x:v>31</x:v>
      </x:c>
      <x:c r="H13" s="27" t="str">
        <x:v>2023-04-26</x:v>
      </x:c>
      <x:c r="I13" s="27" t="str">
        <x:v>0000950131-23-001691</x:v>
      </x:c>
      <x:c r="J13" s="27" t="str">
        <x:v>0000950131-23-001686</x:v>
      </x:c>
      <x:c r="K13" s="29" t="n">
        <x:v>455056.19</x:v>
      </x:c>
      <x:c r="L13" s="29" t="n">
        <x:v>-44787.7</x:v>
      </x:c>
      <x:c r="M13" s="29" t="n">
        <x:v>-347795.39</x:v>
      </x:c>
      <x:c r="N13" s="29" t="n">
        <x:v>392583.09</x:v>
      </x:c>
      <x:c r="O13" s="29" t="n">
        <x:v>713461.21</x:v>
      </x:c>
      <x:c r="P13" s="29" t="n">
        <x:v>0</x:v>
      </x:c>
      <x:c r="Q13" s="29" t="n">
        <x:v>320878.12</x:v>
      </x:c>
      <x:c r="R13" s="29" t="n">
        <x:v>0</x:v>
      </x:c>
      <x:c r="S13" s="29" t="n">
        <x:v>0</x:v>
      </x:c>
      <x:c r="T13" s="27" t="str">
        <x:v>PASS</x:v>
      </x:c>
      <x:c r="U13" s="27" t="str">
        <x:v>PASS</x:v>
      </x:c>
      <x:c r="V13" s="29" t="n">
        <x:v>62473.1</x:v>
      </x:c>
      <x:c r="W13" s="27" t="str">
        <x:v>UNRESOLVED</x:v>
      </x:c>
      <x:c r="X13" s="27" t="str">
        <x:v>Residual retained; public certificate sources do not attribute this ABS-EE aggregate delta to a timing, population, correction, or classification component.</x:v>
      </x:c>
      <x:c r="Y13" s="27" t="str">
        <x:v>https://www.sec.gov/Archives/edgar/data/1914281/000095013123001686/d439007dex991.htm</x:v>
      </x:c>
      <x:c r="Z13" s="27" t="str">
        <x:v>855d940ce615c776427d7e417440aa8f5254292eef29a1e82f4a44a922934838</x:v>
      </x:c>
    </x:row>
    <x:row r="14">
      <x:c r="A14" s="27" t="str">
        <x:v>TOYOTA-2022-B-2023-04</x:v>
      </x:c>
      <x:c r="B14" s="27" t="str">
        <x:v>2022-B</x:v>
      </x:c>
      <x:c r="C14" s="27" t="str">
        <x:v>2023-04</x:v>
      </x:c>
      <x:c r="D14" s="27" t="str">
        <x:v>2023-04-30</x:v>
      </x:c>
      <x:c r="E14" s="27" t="str">
        <x:v>2023-04-01</x:v>
      </x:c>
      <x:c r="F14" s="27" t="str">
        <x:v>2023-04-30</x:v>
      </x:c>
      <x:c r="G14" s="28" t="n">
        <x:v>30</x:v>
      </x:c>
      <x:c r="H14" s="27" t="str">
        <x:v>2023-05-30</x:v>
      </x:c>
      <x:c r="I14" s="27" t="str">
        <x:v>0000950131-23-002140</x:v>
      </x:c>
      <x:c r="J14" s="27" t="str">
        <x:v>0000950131-23-002135</x:v>
      </x:c>
      <x:c r="K14" s="29" t="n">
        <x:v>434415.62</x:v>
      </x:c>
      <x:c r="L14" s="29" t="n">
        <x:v>-36249.8</x:v>
      </x:c>
      <x:c r="M14" s="29" t="n">
        <x:v>-343459.8</x:v>
      </x:c>
      <x:c r="N14" s="29" t="n">
        <x:v>379709.6</x:v>
      </x:c>
      <x:c r="O14" s="29" t="n">
        <x:v>736376.36</x:v>
      </x:c>
      <x:c r="P14" s="29" t="n">
        <x:v>0</x:v>
      </x:c>
      <x:c r="Q14" s="29" t="n">
        <x:v>356666.76</x:v>
      </x:c>
      <x:c r="R14" s="29" t="n">
        <x:v>0</x:v>
      </x:c>
      <x:c r="S14" s="29" t="n">
        <x:v>0</x:v>
      </x:c>
      <x:c r="T14" s="27" t="str">
        <x:v>PASS</x:v>
      </x:c>
      <x:c r="U14" s="27" t="str">
        <x:v>PASS</x:v>
      </x:c>
      <x:c r="V14" s="29" t="n">
        <x:v>54706.02</x:v>
      </x:c>
      <x:c r="W14" s="27" t="str">
        <x:v>UNRESOLVED</x:v>
      </x:c>
      <x:c r="X14" s="27" t="str">
        <x:v>Residual retained; public certificate sources do not attribute this ABS-EE aggregate delta to a timing, population, correction, or classification component.</x:v>
      </x:c>
      <x:c r="Y14" s="27" t="str">
        <x:v>https://www.sec.gov/Archives/edgar/data/1914281/000095013123002135/d504661dex991.htm</x:v>
      </x:c>
      <x:c r="Z14" s="27" t="str">
        <x:v>bd3507037b30e75475bdb6179e97bd56916c0dbd00fb00ec81f1d94043c708de</x:v>
      </x:c>
    </x:row>
    <x:row r="15">
      <x:c r="A15" s="27" t="str">
        <x:v>TOYOTA-2022-B-2023-05</x:v>
      </x:c>
      <x:c r="B15" s="27" t="str">
        <x:v>2022-B</x:v>
      </x:c>
      <x:c r="C15" s="27" t="str">
        <x:v>2023-05</x:v>
      </x:c>
      <x:c r="D15" s="27" t="str">
        <x:v>2023-05-31</x:v>
      </x:c>
      <x:c r="E15" s="27" t="str">
        <x:v>2023-05-01</x:v>
      </x:c>
      <x:c r="F15" s="27" t="str">
        <x:v>2023-05-31</x:v>
      </x:c>
      <x:c r="G15" s="28" t="n">
        <x:v>31</x:v>
      </x:c>
      <x:c r="H15" s="27" t="str">
        <x:v>2023-06-28</x:v>
      </x:c>
      <x:c r="I15" s="27" t="str">
        <x:v>0000950131-23-002549</x:v>
      </x:c>
      <x:c r="J15" s="27" t="str">
        <x:v>0000950131-23-002545</x:v>
      </x:c>
      <x:c r="K15" s="29" t="n">
        <x:v>504219.77</x:v>
      </x:c>
      <x:c r="L15" s="29" t="n">
        <x:v>-20607.78</x:v>
      </x:c>
      <x:c r="M15" s="29" t="n">
        <x:v>-420498.73</x:v>
      </x:c>
      <x:c r="N15" s="29" t="n">
        <x:v>441106.51</x:v>
      </x:c>
      <x:c r="O15" s="29" t="n">
        <x:v>330067.55</x:v>
      </x:c>
      <x:c r="P15" s="29" t="n">
        <x:v>0</x:v>
      </x:c>
      <x:c r="Q15" s="29" t="n">
        <x:v>-111038.96</x:v>
      </x:c>
      <x:c r="R15" s="29" t="n">
        <x:v>0</x:v>
      </x:c>
      <x:c r="S15" s="29" t="n">
        <x:v>0</x:v>
      </x:c>
      <x:c r="T15" s="27" t="str">
        <x:v>PASS</x:v>
      </x:c>
      <x:c r="U15" s="27" t="str">
        <x:v>PASS</x:v>
      </x:c>
      <x:c r="V15" s="29" t="n">
        <x:v>63113.26</x:v>
      </x:c>
      <x:c r="W15" s="27" t="str">
        <x:v>UNRESOLVED</x:v>
      </x:c>
      <x:c r="X15" s="27" t="str">
        <x:v>Residual retained; public certificate sources do not attribute this ABS-EE aggregate delta to a timing, population, correction, or classification component.</x:v>
      </x:c>
      <x:c r="Y15" s="27" t="str">
        <x:v>https://www.sec.gov/Archives/edgar/data/1914281/000095013123002545/d465458dex991.htm</x:v>
      </x:c>
      <x:c r="Z15" s="27" t="str">
        <x:v>621217ec88dde06d98634d416fc522b51ccf86fc587343d9d1345968e769da38</x:v>
      </x:c>
    </x:row>
    <x:row r="16">
      <x:c r="A16" s="27" t="str">
        <x:v>TOYOTA-2022-B-2023-06</x:v>
      </x:c>
      <x:c r="B16" s="27" t="str">
        <x:v>2022-B</x:v>
      </x:c>
      <x:c r="C16" s="27" t="str">
        <x:v>2023-06</x:v>
      </x:c>
      <x:c r="D16" s="27" t="str">
        <x:v>2023-06-30</x:v>
      </x:c>
      <x:c r="E16" s="27" t="str">
        <x:v>2023-06-01</x:v>
      </x:c>
      <x:c r="F16" s="27" t="str">
        <x:v>2023-06-30</x:v>
      </x:c>
      <x:c r="G16" s="28" t="n">
        <x:v>30</x:v>
      </x:c>
      <x:c r="H16" s="27" t="str">
        <x:v>2023-07-27</x:v>
      </x:c>
      <x:c r="I16" s="27" t="str">
        <x:v>0000950131-23-002961</x:v>
      </x:c>
      <x:c r="J16" s="27" t="str">
        <x:v>0000950131-23-002957</x:v>
      </x:c>
      <x:c r="K16" s="29" t="n">
        <x:v>426222.33</x:v>
      </x:c>
      <x:c r="L16" s="29" t="n">
        <x:v>-15714.74</x:v>
      </x:c>
      <x:c r="M16" s="29" t="n">
        <x:v>-360030.61</x:v>
      </x:c>
      <x:c r="N16" s="29" t="n">
        <x:v>375745.35</x:v>
      </x:c>
      <x:c r="O16" s="29" t="n">
        <x:v>727545.39</x:v>
      </x:c>
      <x:c r="P16" s="29" t="n">
        <x:v>0</x:v>
      </x:c>
      <x:c r="Q16" s="29" t="n">
        <x:v>351800.04</x:v>
      </x:c>
      <x:c r="R16" s="29" t="n">
        <x:v>0</x:v>
      </x:c>
      <x:c r="S16" s="29" t="n">
        <x:v>0</x:v>
      </x:c>
      <x:c r="T16" s="27" t="str">
        <x:v>PASS</x:v>
      </x:c>
      <x:c r="U16" s="27" t="str">
        <x:v>PASS</x:v>
      </x:c>
      <x:c r="V16" s="29" t="n">
        <x:v>50476.98</x:v>
      </x:c>
      <x:c r="W16" s="27" t="str">
        <x:v>UNRESOLVED</x:v>
      </x:c>
      <x:c r="X16" s="27" t="str">
        <x:v>Residual retained; public certificate sources do not attribute this ABS-EE aggregate delta to a timing, population, correction, or classification component.</x:v>
      </x:c>
      <x:c r="Y16" s="27" t="str">
        <x:v>https://www.sec.gov/Archives/edgar/data/1914281/000095013123002957/d500011dex991.htm</x:v>
      </x:c>
      <x:c r="Z16" s="27" t="str">
        <x:v>5976abed4107ee30e95733af9eca70047186e14b9bbd51d91a14cf4d6f112f37</x:v>
      </x:c>
    </x:row>
    <x:row r="17">
      <x:c r="A17" s="27" t="str">
        <x:v>TOYOTA-2022-B-2023-07</x:v>
      </x:c>
      <x:c r="B17" s="27" t="str">
        <x:v>2022-B</x:v>
      </x:c>
      <x:c r="C17" s="27" t="str">
        <x:v>2023-07</x:v>
      </x:c>
      <x:c r="D17" s="27" t="str">
        <x:v>2023-07-31</x:v>
      </x:c>
      <x:c r="E17" s="27" t="str">
        <x:v>2023-07-01</x:v>
      </x:c>
      <x:c r="F17" s="27" t="str">
        <x:v>2023-07-31</x:v>
      </x:c>
      <x:c r="G17" s="28" t="n">
        <x:v>31</x:v>
      </x:c>
      <x:c r="H17" s="27" t="str">
        <x:v>2023-08-29</x:v>
      </x:c>
      <x:c r="I17" s="27" t="str">
        <x:v>0000950131-23-003368</x:v>
      </x:c>
      <x:c r="J17" s="27" t="str">
        <x:v>0000950131-23-003364</x:v>
      </x:c>
      <x:c r="K17" s="29" t="n">
        <x:v>675082.28</x:v>
      </x:c>
      <x:c r="L17" s="29" t="n">
        <x:v>-72549.35</x:v>
      </x:c>
      <x:c r="M17" s="29" t="n">
        <x:v>-565056.63</x:v>
      </x:c>
      <x:c r="N17" s="29" t="n">
        <x:v>637605.98</x:v>
      </x:c>
      <x:c r="O17" s="29" t="n">
        <x:v>437949.25</x:v>
      </x:c>
      <x:c r="P17" s="29" t="n">
        <x:v>0</x:v>
      </x:c>
      <x:c r="Q17" s="29" t="n">
        <x:v>-199656.73</x:v>
      </x:c>
      <x:c r="R17" s="29" t="n">
        <x:v>0</x:v>
      </x:c>
      <x:c r="S17" s="29" t="n">
        <x:v>0</x:v>
      </x:c>
      <x:c r="T17" s="27" t="str">
        <x:v>PASS</x:v>
      </x:c>
      <x:c r="U17" s="27" t="str">
        <x:v>PASS</x:v>
      </x:c>
      <x:c r="V17" s="29" t="n">
        <x:v>37476.3</x:v>
      </x:c>
      <x:c r="W17" s="27" t="str">
        <x:v>UNRESOLVED</x:v>
      </x:c>
      <x:c r="X17" s="27" t="str">
        <x:v>Residual retained; public certificate sources do not attribute this ABS-EE aggregate delta to a timing, population, correction, or classification component.</x:v>
      </x:c>
      <x:c r="Y17" s="27" t="str">
        <x:v>https://www.sec.gov/Archives/edgar/data/1914281/000095013123003364/d493039dex991.htm</x:v>
      </x:c>
      <x:c r="Z17" s="27" t="str">
        <x:v>eee1370b8b2cc03a5e9d8d677402df530c5adc59ff4835b0ec403e8257583f7b</x:v>
      </x:c>
    </x:row>
    <x:row r="18">
      <x:c r="A18" s="27" t="str">
        <x:v>TOYOTA-2022-B-2023-08</x:v>
      </x:c>
      <x:c r="B18" s="27" t="str">
        <x:v>2022-B</x:v>
      </x:c>
      <x:c r="C18" s="27" t="str">
        <x:v>2023-08</x:v>
      </x:c>
      <x:c r="D18" s="27" t="str">
        <x:v>2023-08-31</x:v>
      </x:c>
      <x:c r="E18" s="27" t="str">
        <x:v>2023-08-01</x:v>
      </x:c>
      <x:c r="F18" s="27" t="str">
        <x:v>2023-08-31</x:v>
      </x:c>
      <x:c r="G18" s="28" t="n">
        <x:v>31</x:v>
      </x:c>
      <x:c r="H18" s="27" t="str">
        <x:v>2023-09-27</x:v>
      </x:c>
      <x:c r="I18" s="27" t="str">
        <x:v>0000950131-23-003773</x:v>
      </x:c>
      <x:c r="J18" s="27" t="str">
        <x:v>0000950131-23-003768</x:v>
      </x:c>
      <x:c r="K18" s="29" t="n">
        <x:v>357891.61</x:v>
      </x:c>
      <x:c r="L18" s="29" t="n">
        <x:v>-28755.67</x:v>
      </x:c>
      <x:c r="M18" s="29" t="n">
        <x:v>-289108.94</x:v>
      </x:c>
      <x:c r="N18" s="29" t="n">
        <x:v>317864.61</x:v>
      </x:c>
      <x:c r="O18" s="29" t="n">
        <x:v>784810.79</x:v>
      </x:c>
      <x:c r="P18" s="29" t="n">
        <x:v>-15040.88</x:v>
      </x:c>
      <x:c r="Q18" s="29" t="n">
        <x:v>451905.3</x:v>
      </x:c>
      <x:c r="R18" s="29" t="n">
        <x:v>0</x:v>
      </x:c>
      <x:c r="S18" s="29" t="n">
        <x:v>0</x:v>
      </x:c>
      <x:c r="T18" s="27" t="str">
        <x:v>PASS</x:v>
      </x:c>
      <x:c r="U18" s="27" t="str">
        <x:v>PASS</x:v>
      </x:c>
      <x:c r="V18" s="29" t="n">
        <x:v>40027</x:v>
      </x:c>
      <x:c r="W18" s="27" t="str">
        <x:v>UNRESOLVED</x:v>
      </x:c>
      <x:c r="X18" s="27" t="str">
        <x:v>Residual retained; public certificate sources do not attribute this ABS-EE aggregate delta to a timing, population, correction, or classification component.</x:v>
      </x:c>
      <x:c r="Y18" s="27" t="str">
        <x:v>https://www.sec.gov/Archives/edgar/data/1914281/000095013123003768/d537921dex991.htm</x:v>
      </x:c>
      <x:c r="Z18" s="27" t="str">
        <x:v>02443ae9154a616a31219da119fea18ee4b3576d7c5e73680898a8bed99d2316</x:v>
      </x:c>
    </x:row>
    <x:row r="19">
      <x:c r="A19" s="27" t="str">
        <x:v>TOYOTA-2022-B-2023-09</x:v>
      </x:c>
      <x:c r="B19" s="27" t="str">
        <x:v>2022-B</x:v>
      </x:c>
      <x:c r="C19" s="27" t="str">
        <x:v>2023-09</x:v>
      </x:c>
      <x:c r="D19" s="27" t="str">
        <x:v>2023-09-30</x:v>
      </x:c>
      <x:c r="E19" s="27" t="str">
        <x:v>2023-09-01</x:v>
      </x:c>
      <x:c r="F19" s="27" t="str">
        <x:v>2023-09-30</x:v>
      </x:c>
      <x:c r="G19" s="28" t="n">
        <x:v>30</x:v>
      </x:c>
      <x:c r="H19" s="27" t="str">
        <x:v>2023-10-27</x:v>
      </x:c>
      <x:c r="I19" s="27" t="str">
        <x:v>0000950131-23-004234</x:v>
      </x:c>
      <x:c r="J19" s="27" t="str">
        <x:v>0000950131-23-004229</x:v>
      </x:c>
      <x:c r="K19" s="29" t="n">
        <x:v>218980.09</x:v>
      </x:c>
      <x:c r="L19" s="29" t="n">
        <x:v>-26149.06</x:v>
      </x:c>
      <x:c r="M19" s="29" t="n">
        <x:v>-152548.25</x:v>
      </x:c>
      <x:c r="N19" s="29" t="n">
        <x:v>178697.31</x:v>
      </x:c>
      <x:c r="O19" s="29" t="n">
        <x:v>664889.61</x:v>
      </x:c>
      <x:c r="P19" s="29" t="n">
        <x:v>0</x:v>
      </x:c>
      <x:c r="Q19" s="29" t="n">
        <x:v>486192.3</x:v>
      </x:c>
      <x:c r="R19" s="29" t="n">
        <x:v>0</x:v>
      </x:c>
      <x:c r="S19" s="29" t="n">
        <x:v>0</x:v>
      </x:c>
      <x:c r="T19" s="27" t="str">
        <x:v>PASS</x:v>
      </x:c>
      <x:c r="U19" s="27" t="str">
        <x:v>PASS</x:v>
      </x:c>
      <x:c r="V19" s="29" t="n">
        <x:v>40282.78</x:v>
      </x:c>
      <x:c r="W19" s="27" t="str">
        <x:v>UNRESOLVED</x:v>
      </x:c>
      <x:c r="X19" s="27" t="str">
        <x:v>Residual retained; public certificate sources do not attribute this ABS-EE aggregate delta to a timing, population, correction, or classification component.</x:v>
      </x:c>
      <x:c r="Y19" s="27" t="str">
        <x:v>https://www.sec.gov/Archives/edgar/data/1914281/000095013123004229/d552952dex991.htm</x:v>
      </x:c>
      <x:c r="Z19" s="27" t="str">
        <x:v>8860eff93e6438b8094e1c590d316712023befb0647919e9f1e72a3ebfb94857</x:v>
      </x:c>
    </x:row>
    <x:row r="20">
      <x:c r="A20" s="27" t="str">
        <x:v>TOYOTA-2022-B-2023-10</x:v>
      </x:c>
      <x:c r="B20" s="27" t="str">
        <x:v>2022-B</x:v>
      </x:c>
      <x:c r="C20" s="27" t="str">
        <x:v>2023-10</x:v>
      </x:c>
      <x:c r="D20" s="27" t="str">
        <x:v>2023-10-31</x:v>
      </x:c>
      <x:c r="E20" s="27" t="str">
        <x:v>2023-10-01</x:v>
      </x:c>
      <x:c r="F20" s="27" t="str">
        <x:v>2023-10-31</x:v>
      </x:c>
      <x:c r="G20" s="28" t="n">
        <x:v>31</x:v>
      </x:c>
      <x:c r="H20" s="27" t="str">
        <x:v>2023-11-28</x:v>
      </x:c>
      <x:c r="I20" s="27" t="str">
        <x:v>0000950131-23-004638</x:v>
      </x:c>
      <x:c r="J20" s="27" t="str">
        <x:v>0000950131-23-004634</x:v>
      </x:c>
      <x:c r="K20" s="29" t="n">
        <x:v>388331.78</x:v>
      </x:c>
      <x:c r="L20" s="29" t="n">
        <x:v>-40370.1</x:v>
      </x:c>
      <x:c r="M20" s="29" t="n">
        <x:v>-318005.88</x:v>
      </x:c>
      <x:c r="N20" s="29" t="n">
        <x:v>358375.98</x:v>
      </x:c>
      <x:c r="O20" s="29" t="n">
        <x:v>549204.92</x:v>
      </x:c>
      <x:c r="P20" s="29" t="n">
        <x:v>0</x:v>
      </x:c>
      <x:c r="Q20" s="29" t="n">
        <x:v>190828.94</x:v>
      </x:c>
      <x:c r="R20" s="29" t="n">
        <x:v>0</x:v>
      </x:c>
      <x:c r="S20" s="29" t="n">
        <x:v>0</x:v>
      </x:c>
      <x:c r="T20" s="27" t="str">
        <x:v>PASS</x:v>
      </x:c>
      <x:c r="U20" s="27" t="str">
        <x:v>PASS</x:v>
      </x:c>
      <x:c r="V20" s="29" t="n">
        <x:v>29955.8</x:v>
      </x:c>
      <x:c r="W20" s="27" t="str">
        <x:v>UNRESOLVED</x:v>
      </x:c>
      <x:c r="X20" s="27" t="str">
        <x:v>Residual retained; public certificate sources do not attribute this ABS-EE aggregate delta to a timing, population, correction, or classification component.</x:v>
      </x:c>
      <x:c r="Y20" s="27" t="str">
        <x:v>https://www.sec.gov/Archives/edgar/data/1914281/000095013123004634/d930417dex991.htm</x:v>
      </x:c>
      <x:c r="Z20" s="27" t="str">
        <x:v>51ded2b06766c566360dbc603f5d9f58e5a8ded32b1644a3ee96972d408964cf</x:v>
      </x:c>
    </x:row>
    <x:row r="21">
      <x:c r="A21" s="27" t="str">
        <x:v>TOYOTA-2022-B-2023-11</x:v>
      </x:c>
      <x:c r="B21" s="27" t="str">
        <x:v>2022-B</x:v>
      </x:c>
      <x:c r="C21" s="27" t="str">
        <x:v>2023-11</x:v>
      </x:c>
      <x:c r="D21" s="27" t="str">
        <x:v>2023-11-30</x:v>
      </x:c>
      <x:c r="E21" s="27" t="str">
        <x:v>2023-11-01</x:v>
      </x:c>
      <x:c r="F21" s="27" t="str">
        <x:v>2023-11-30</x:v>
      </x:c>
      <x:c r="G21" s="28" t="n">
        <x:v>30</x:v>
      </x:c>
      <x:c r="H21" s="27" t="str">
        <x:v>2023-12-21</x:v>
      </x:c>
      <x:c r="I21" s="27" t="str">
        <x:v>0000950131-23-005033</x:v>
      </x:c>
      <x:c r="J21" s="27" t="str">
        <x:v>0000950131-23-005027</x:v>
      </x:c>
      <x:c r="K21" s="29" t="n">
        <x:v>517723.67</x:v>
      </x:c>
      <x:c r="L21" s="29" t="n">
        <x:v>-88549.83</x:v>
      </x:c>
      <x:c r="M21" s="29" t="n">
        <x:v>-384465.14</x:v>
      </x:c>
      <x:c r="N21" s="29" t="n">
        <x:v>473014.97</x:v>
      </x:c>
      <x:c r="O21" s="29" t="n">
        <x:v>490112.1</x:v>
      </x:c>
      <x:c r="P21" s="29" t="n">
        <x:v>0</x:v>
      </x:c>
      <x:c r="Q21" s="29" t="n">
        <x:v>17097.13</x:v>
      </x:c>
      <x:c r="R21" s="29" t="n">
        <x:v>0</x:v>
      </x:c>
      <x:c r="S21" s="29" t="n">
        <x:v>0</x:v>
      </x:c>
      <x:c r="T21" s="27" t="str">
        <x:v>PASS</x:v>
      </x:c>
      <x:c r="U21" s="27" t="str">
        <x:v>PASS</x:v>
      </x:c>
      <x:c r="V21" s="29" t="n">
        <x:v>44708.7</x:v>
      </x:c>
      <x:c r="W21" s="27" t="str">
        <x:v>UNRESOLVED</x:v>
      </x:c>
      <x:c r="X21" s="27" t="str">
        <x:v>Residual retained; public certificate sources do not attribute this ABS-EE aggregate delta to a timing, population, correction, or classification component.</x:v>
      </x:c>
      <x:c r="Y21" s="27" t="str">
        <x:v>https://www.sec.gov/Archives/edgar/data/1914281/000095013123005027/d719716dex991.htm</x:v>
      </x:c>
      <x:c r="Z21" s="27" t="str">
        <x:v>fa113cf3dd97be84a11d149796d611f75e0cdd11b3783fabdfed11c8c401ca35</x:v>
      </x:c>
    </x:row>
    <x:row r="22">
      <x:c r="A22" s="27" t="str">
        <x:v>TOYOTA-2022-B-2023-12</x:v>
      </x:c>
      <x:c r="B22" s="27" t="str">
        <x:v>2022-B</x:v>
      </x:c>
      <x:c r="C22" s="27" t="str">
        <x:v>2023-12</x:v>
      </x:c>
      <x:c r="D22" s="27" t="str">
        <x:v>2023-12-31</x:v>
      </x:c>
      <x:c r="E22" s="27" t="str">
        <x:v>2023-12-01</x:v>
      </x:c>
      <x:c r="F22" s="27" t="str">
        <x:v>2023-12-31</x:v>
      </x:c>
      <x:c r="G22" s="28" t="n">
        <x:v>31</x:v>
      </x:c>
      <x:c r="H22" s="27" t="str">
        <x:v>2024-01-29</x:v>
      </x:c>
      <x:c r="I22" s="27" t="str">
        <x:v>0000950131-24-000384</x:v>
      </x:c>
      <x:c r="J22" s="27" t="str">
        <x:v>0000950131-24-000380</x:v>
      </x:c>
      <x:c r="K22" s="29" t="n">
        <x:v>261397.44</x:v>
      </x:c>
      <x:c r="L22" s="29" t="n">
        <x:v>-14096.84</x:v>
      </x:c>
      <x:c r="M22" s="29" t="n">
        <x:v>-199335.08</x:v>
      </x:c>
      <x:c r="N22" s="29" t="n">
        <x:v>213431.92</x:v>
      </x:c>
      <x:c r="O22" s="29" t="n">
        <x:v>486771.95</x:v>
      </x:c>
      <x:c r="P22" s="29" t="n">
        <x:v>0</x:v>
      </x:c>
      <x:c r="Q22" s="29" t="n">
        <x:v>273340.03</x:v>
      </x:c>
      <x:c r="R22" s="29" t="n">
        <x:v>0</x:v>
      </x:c>
      <x:c r="S22" s="29" t="n">
        <x:v>0</x:v>
      </x:c>
      <x:c r="T22" s="27" t="str">
        <x:v>PASS</x:v>
      </x:c>
      <x:c r="U22" s="27" t="str">
        <x:v>PASS</x:v>
      </x:c>
      <x:c r="V22" s="29" t="n">
        <x:v>47965.52</x:v>
      </x:c>
      <x:c r="W22" s="27" t="str">
        <x:v>UNRESOLVED</x:v>
      </x:c>
      <x:c r="X22" s="27" t="str">
        <x:v>Residual retained; public certificate sources do not attribute this ABS-EE aggregate delta to a timing, population, correction, or classification component.</x:v>
      </x:c>
      <x:c r="Y22" s="27" t="str">
        <x:v>https://www.sec.gov/Archives/edgar/data/1914281/000095013124000380/d683097dex991.htm</x:v>
      </x:c>
      <x:c r="Z22" s="27" t="str">
        <x:v>392024cdc2265292f50cae564dada4c679c7168d06344a747b4dfd8346cd41ba</x:v>
      </x:c>
    </x:row>
    <x:row r="23">
      <x:c r="A23" s="27" t="str">
        <x:v>TOYOTA-2022-B-2024-01</x:v>
      </x:c>
      <x:c r="B23" s="27" t="str">
        <x:v>2022-B</x:v>
      </x:c>
      <x:c r="C23" s="27" t="str">
        <x:v>2024-01</x:v>
      </x:c>
      <x:c r="D23" s="27" t="str">
        <x:v>2024-01-31</x:v>
      </x:c>
      <x:c r="E23" s="27" t="str">
        <x:v>2024-01-01</x:v>
      </x:c>
      <x:c r="F23" s="27" t="str">
        <x:v>2024-01-31</x:v>
      </x:c>
      <x:c r="G23" s="28" t="n">
        <x:v>31</x:v>
      </x:c>
      <x:c r="H23" s="27" t="str">
        <x:v>2024-02-27</x:v>
      </x:c>
      <x:c r="I23" s="27" t="str">
        <x:v>0000950131-24-000757</x:v>
      </x:c>
      <x:c r="J23" s="27" t="str">
        <x:v>0000950131-24-000754</x:v>
      </x:c>
      <x:c r="K23" s="29" t="n">
        <x:v>232058.39</x:v>
      </x:c>
      <x:c r="L23" s="29" t="n">
        <x:v>624.79</x:v>
      </x:c>
      <x:c r="M23" s="29" t="n">
        <x:v>-177286.44</x:v>
      </x:c>
      <x:c r="N23" s="29" t="n">
        <x:v>176661.65</x:v>
      </x:c>
      <x:c r="O23" s="29" t="n">
        <x:v>854368.03</x:v>
      </x:c>
      <x:c r="P23" s="29" t="n">
        <x:v>0</x:v>
      </x:c>
      <x:c r="Q23" s="29" t="n">
        <x:v>677706.38</x:v>
      </x:c>
      <x:c r="R23" s="29" t="n">
        <x:v>0</x:v>
      </x:c>
      <x:c r="S23" s="29" t="n">
        <x:v>0</x:v>
      </x:c>
      <x:c r="T23" s="27" t="str">
        <x:v>PASS</x:v>
      </x:c>
      <x:c r="U23" s="27" t="str">
        <x:v>PASS</x:v>
      </x:c>
      <x:c r="V23" s="29" t="n">
        <x:v>55396.74</x:v>
      </x:c>
      <x:c r="W23" s="27" t="str">
        <x:v>UNRESOLVED</x:v>
      </x:c>
      <x:c r="X23" s="27" t="str">
        <x:v>Residual retained; public certificate sources do not attribute this ABS-EE aggregate delta to a timing, population, correction, or classification component.</x:v>
      </x:c>
      <x:c r="Y23" s="27" t="str">
        <x:v>https://www.sec.gov/Archives/edgar/data/1914281/000095013124000754/d742075dex991.htm</x:v>
      </x:c>
      <x:c r="Z23" s="27" t="str">
        <x:v>024a0d1fb45d0f4d1c23fc08ef6841b5f023e1540bf9b88af56375af6d32a894</x:v>
      </x:c>
    </x:row>
    <x:row r="24">
      <x:c r="A24" s="27" t="str">
        <x:v>TOYOTA-2022-B-2024-02</x:v>
      </x:c>
      <x:c r="B24" s="27" t="str">
        <x:v>2022-B</x:v>
      </x:c>
      <x:c r="C24" s="27" t="str">
        <x:v>2024-02</x:v>
      </x:c>
      <x:c r="D24" s="27" t="str">
        <x:v>2024-02-29</x:v>
      </x:c>
      <x:c r="E24" s="27" t="str">
        <x:v>2024-02-01</x:v>
      </x:c>
      <x:c r="F24" s="27" t="str">
        <x:v>2024-02-29</x:v>
      </x:c>
      <x:c r="G24" s="28" t="n">
        <x:v>29</x:v>
      </x:c>
      <x:c r="H24" s="27" t="str">
        <x:v>2024-03-27</x:v>
      </x:c>
      <x:c r="I24" s="27" t="str">
        <x:v>0000950131-24-001184</x:v>
      </x:c>
      <x:c r="J24" s="27" t="str">
        <x:v>0000950131-24-001179</x:v>
      </x:c>
      <x:c r="K24" s="29" t="n">
        <x:v>547554.85</x:v>
      </x:c>
      <x:c r="L24" s="29" t="n">
        <x:v>-18053.55</x:v>
      </x:c>
      <x:c r="M24" s="29" t="n">
        <x:v>-483990.7</x:v>
      </x:c>
      <x:c r="N24" s="29" t="n">
        <x:v>502044.25</x:v>
      </x:c>
      <x:c r="O24" s="29" t="n">
        <x:v>500211.04</x:v>
      </x:c>
      <x:c r="P24" s="29" t="n">
        <x:v>0</x:v>
      </x:c>
      <x:c r="Q24" s="29" t="n">
        <x:v>-1833.21</x:v>
      </x:c>
      <x:c r="R24" s="29" t="n">
        <x:v>0</x:v>
      </x:c>
      <x:c r="S24" s="29" t="n">
        <x:v>0</x:v>
      </x:c>
      <x:c r="T24" s="27" t="str">
        <x:v>PASS</x:v>
      </x:c>
      <x:c r="U24" s="27" t="str">
        <x:v>PASS</x:v>
      </x:c>
      <x:c r="V24" s="29" t="n">
        <x:v>45510.6</x:v>
      </x:c>
      <x:c r="W24" s="27" t="str">
        <x:v>UNRESOLVED</x:v>
      </x:c>
      <x:c r="X24" s="27" t="str">
        <x:v>Residual retained; public certificate sources do not attribute this ABS-EE aggregate delta to a timing, population, correction, or classification component.</x:v>
      </x:c>
      <x:c r="Y24" s="27" t="str">
        <x:v>https://www.sec.gov/Archives/edgar/data/1914281/000095013124001179/d609319dex991.htm</x:v>
      </x:c>
      <x:c r="Z24" s="27" t="str">
        <x:v>76cab768ac9b4256561b83826d645c50c084f6f5be256dc27cda3773d9779e3e</x:v>
      </x:c>
    </x:row>
    <x:row r="25">
      <x:c r="A25" s="27" t="str">
        <x:v>TOYOTA-2022-B-2024-03</x:v>
      </x:c>
      <x:c r="B25" s="27" t="str">
        <x:v>2022-B</x:v>
      </x:c>
      <x:c r="C25" s="27" t="str">
        <x:v>2024-03</x:v>
      </x:c>
      <x:c r="D25" s="27" t="str">
        <x:v>2024-03-31</x:v>
      </x:c>
      <x:c r="E25" s="27" t="str">
        <x:v>2024-03-01</x:v>
      </x:c>
      <x:c r="F25" s="27" t="str">
        <x:v>2024-03-31</x:v>
      </x:c>
      <x:c r="G25" s="28" t="n">
        <x:v>31</x:v>
      </x:c>
      <x:c r="H25" s="27" t="str">
        <x:v>2024-04-25</x:v>
      </x:c>
      <x:c r="I25" s="27" t="str">
        <x:v>0000950131-24-001639</x:v>
      </x:c>
      <x:c r="J25" s="27" t="str">
        <x:v>0000950131-24-001635</x:v>
      </x:c>
      <x:c r="K25" s="29" t="n">
        <x:v>470445.75</x:v>
      </x:c>
      <x:c r="L25" s="29" t="n">
        <x:v>-18444.47</x:v>
      </x:c>
      <x:c r="M25" s="29" t="n">
        <x:v>-398331.08</x:v>
      </x:c>
      <x:c r="N25" s="29" t="n">
        <x:v>416775.55</x:v>
      </x:c>
      <x:c r="O25" s="29" t="n">
        <x:v>488424.92</x:v>
      </x:c>
      <x:c r="P25" s="29" t="n">
        <x:v>0</x:v>
      </x:c>
      <x:c r="Q25" s="29" t="n">
        <x:v>71649.37</x:v>
      </x:c>
      <x:c r="R25" s="29" t="n">
        <x:v>0</x:v>
      </x:c>
      <x:c r="S25" s="29" t="n">
        <x:v>0</x:v>
      </x:c>
      <x:c r="T25" s="27" t="str">
        <x:v>PASS</x:v>
      </x:c>
      <x:c r="U25" s="27" t="str">
        <x:v>PASS</x:v>
      </x:c>
      <x:c r="V25" s="29" t="n">
        <x:v>53670.2</x:v>
      </x:c>
      <x:c r="W25" s="27" t="str">
        <x:v>UNRESOLVED</x:v>
      </x:c>
      <x:c r="X25" s="27" t="str">
        <x:v>Residual retained; public certificate sources do not attribute this ABS-EE aggregate delta to a timing, population, correction, or classification component.</x:v>
      </x:c>
      <x:c r="Y25" s="27" t="str">
        <x:v>https://www.sec.gov/Archives/edgar/data/1914281/000095013124001635/d785615dex991.htm</x:v>
      </x:c>
      <x:c r="Z25" s="27" t="str">
        <x:v>3db522a84aeb22c386fd2324ecf58d5275488a8cff4fa86223553e118df73dfb</x:v>
      </x:c>
    </x:row>
    <x:row r="26">
      <x:c r="A26" s="27" t="str">
        <x:v>TOYOTA-2022-B-2024-04</x:v>
      </x:c>
      <x:c r="B26" s="27" t="str">
        <x:v>2022-B</x:v>
      </x:c>
      <x:c r="C26" s="27" t="str">
        <x:v>2024-04</x:v>
      </x:c>
      <x:c r="D26" s="27" t="str">
        <x:v>2024-04-30</x:v>
      </x:c>
      <x:c r="E26" s="27" t="str">
        <x:v>2024-04-01</x:v>
      </x:c>
      <x:c r="F26" s="27" t="str">
        <x:v>2024-04-30</x:v>
      </x:c>
      <x:c r="G26" s="28" t="n">
        <x:v>30</x:v>
      </x:c>
      <x:c r="H26" s="27" t="str">
        <x:v>2024-05-29</x:v>
      </x:c>
      <x:c r="I26" s="27" t="str">
        <x:v>0000950131-24-002179</x:v>
      </x:c>
      <x:c r="J26" s="27" t="str">
        <x:v>0000950131-24-002174</x:v>
      </x:c>
      <x:c r="K26" s="29" t="n">
        <x:v>394251.66</x:v>
      </x:c>
      <x:c r="L26" s="29" t="n">
        <x:v>698.57</x:v>
      </x:c>
      <x:c r="M26" s="29" t="n">
        <x:v>-349175.07</x:v>
      </x:c>
      <x:c r="N26" s="29" t="n">
        <x:v>348476.5</x:v>
      </x:c>
      <x:c r="O26" s="29" t="n">
        <x:v>300666.05</x:v>
      </x:c>
      <x:c r="P26" s="29" t="n">
        <x:v>0</x:v>
      </x:c>
      <x:c r="Q26" s="29" t="n">
        <x:v>-47810.45</x:v>
      </x:c>
      <x:c r="R26" s="29" t="n">
        <x:v>0</x:v>
      </x:c>
      <x:c r="S26" s="29" t="n">
        <x:v>0</x:v>
      </x:c>
      <x:c r="T26" s="27" t="str">
        <x:v>PASS</x:v>
      </x:c>
      <x:c r="U26" s="27" t="str">
        <x:v>PASS</x:v>
      </x:c>
      <x:c r="V26" s="29" t="n">
        <x:v>45775.16</x:v>
      </x:c>
      <x:c r="W26" s="27" t="str">
        <x:v>UNRESOLVED</x:v>
      </x:c>
      <x:c r="X26" s="27" t="str">
        <x:v>Residual retained; public certificate sources do not attribute this ABS-EE aggregate delta to a timing, population, correction, or classification component.</x:v>
      </x:c>
      <x:c r="Y26" s="27" t="str">
        <x:v>https://www.sec.gov/Archives/edgar/data/1914281/000095013124002174/d803299dex991.htm</x:v>
      </x:c>
      <x:c r="Z26" s="27" t="str">
        <x:v>beb539792431825c7abe50e1e309174cce103ed8e9d7b45069955831ba8862df</x:v>
      </x:c>
    </x:row>
    <x:row r="27">
      <x:c r="A27" s="27" t="str">
        <x:v>TOYOTA-2022-B-2024-05</x:v>
      </x:c>
      <x:c r="B27" s="27" t="str">
        <x:v>2022-B</x:v>
      </x:c>
      <x:c r="C27" s="27" t="str">
        <x:v>2024-05</x:v>
      </x:c>
      <x:c r="D27" s="27" t="str">
        <x:v>2024-05-31</x:v>
      </x:c>
      <x:c r="E27" s="27" t="str">
        <x:v>2024-05-01</x:v>
      </x:c>
      <x:c r="F27" s="27" t="str">
        <x:v>2024-05-31</x:v>
      </x:c>
      <x:c r="G27" s="28" t="n">
        <x:v>31</x:v>
      </x:c>
      <x:c r="H27" s="27" t="str">
        <x:v>2024-06-26</x:v>
      </x:c>
      <x:c r="I27" s="27" t="str">
        <x:v>0000950131-24-002696</x:v>
      </x:c>
      <x:c r="J27" s="27" t="str">
        <x:v>0000950131-24-002692</x:v>
      </x:c>
      <x:c r="K27" s="29" t="n">
        <x:v>424652.87</x:v>
      </x:c>
      <x:c r="L27" s="29" t="n">
        <x:v>-63459.35</x:v>
      </x:c>
      <x:c r="M27" s="29" t="n">
        <x:v>-322320.8</x:v>
      </x:c>
      <x:c r="N27" s="29" t="n">
        <x:v>385780.15</x:v>
      </x:c>
      <x:c r="O27" s="29" t="n">
        <x:v>441959.97</x:v>
      </x:c>
      <x:c r="P27" s="29" t="n">
        <x:v>0</x:v>
      </x:c>
      <x:c r="Q27" s="29" t="n">
        <x:v>56179.82</x:v>
      </x:c>
      <x:c r="R27" s="29" t="n">
        <x:v>0</x:v>
      </x:c>
      <x:c r="S27" s="29" t="n">
        <x:v>0</x:v>
      </x:c>
      <x:c r="T27" s="27" t="str">
        <x:v>PASS</x:v>
      </x:c>
      <x:c r="U27" s="27" t="str">
        <x:v>PASS</x:v>
      </x:c>
      <x:c r="V27" s="29" t="n">
        <x:v>38872.72</x:v>
      </x:c>
      <x:c r="W27" s="27" t="str">
        <x:v>UNRESOLVED</x:v>
      </x:c>
      <x:c r="X27" s="27" t="str">
        <x:v>Residual retained; public certificate sources do not attribute this ABS-EE aggregate delta to a timing, population, correction, or classification component.</x:v>
      </x:c>
      <x:c r="Y27" s="27" t="str">
        <x:v>https://www.sec.gov/Archives/edgar/data/1914281/000095013124002692/d837478dex991.htm</x:v>
      </x:c>
      <x:c r="Z27" s="27" t="str">
        <x:v>b4e4bd327bbc112c932d8b768f28849cdfdf4897ac0e1a5d4ff0f0feac2c0651</x:v>
      </x:c>
    </x:row>
    <x:row r="28">
      <x:c r="A28" s="27" t="str">
        <x:v>TOYOTA-2022-B-2024-06</x:v>
      </x:c>
      <x:c r="B28" s="27" t="str">
        <x:v>2022-B</x:v>
      </x:c>
      <x:c r="C28" s="27" t="str">
        <x:v>2024-06</x:v>
      </x:c>
      <x:c r="D28" s="27" t="str">
        <x:v>2024-06-30</x:v>
      </x:c>
      <x:c r="E28" s="27" t="str">
        <x:v>2024-06-01</x:v>
      </x:c>
      <x:c r="F28" s="27" t="str">
        <x:v>2024-06-30</x:v>
      </x:c>
      <x:c r="G28" s="28" t="n">
        <x:v>30</x:v>
      </x:c>
      <x:c r="H28" s="27" t="str">
        <x:v>2024-07-29</x:v>
      </x:c>
      <x:c r="I28" s="27" t="str">
        <x:v>0000950131-24-003106</x:v>
      </x:c>
      <x:c r="J28" s="27" t="str">
        <x:v>0000950131-24-003102</x:v>
      </x:c>
      <x:c r="K28" s="29" t="n">
        <x:v>406112.44</x:v>
      </x:c>
      <x:c r="L28" s="29" t="n">
        <x:v>-37727.2</x:v>
      </x:c>
      <x:c r="M28" s="29" t="n">
        <x:v>-307792.12</x:v>
      </x:c>
      <x:c r="N28" s="29" t="n">
        <x:v>345519.32</x:v>
      </x:c>
      <x:c r="O28" s="29" t="n">
        <x:v>424807.52</x:v>
      </x:c>
      <x:c r="P28" s="29" t="n">
        <x:v>0</x:v>
      </x:c>
      <x:c r="Q28" s="29" t="n">
        <x:v>79288.2</x:v>
      </x:c>
      <x:c r="R28" s="29" t="n">
        <x:v>0</x:v>
      </x:c>
      <x:c r="S28" s="29" t="n">
        <x:v>0</x:v>
      </x:c>
      <x:c r="T28" s="27" t="str">
        <x:v>PASS</x:v>
      </x:c>
      <x:c r="U28" s="27" t="str">
        <x:v>PASS</x:v>
      </x:c>
      <x:c r="V28" s="29" t="n">
        <x:v>60593.12</x:v>
      </x:c>
      <x:c r="W28" s="27" t="str">
        <x:v>UNRESOLVED</x:v>
      </x:c>
      <x:c r="X28" s="27" t="str">
        <x:v>Residual retained; public certificate sources do not attribute this ABS-EE aggregate delta to a timing, population, correction, or classification component.</x:v>
      </x:c>
      <x:c r="Y28" s="27" t="str">
        <x:v>https://www.sec.gov/Archives/edgar/data/1914281/000095013124003102/d855685dex991.htm</x:v>
      </x:c>
      <x:c r="Z28" s="27" t="str">
        <x:v>95aeb5e85fb91523a7edeff98970c5ecb91fd222394890f9429069e7d5989ea4</x:v>
      </x:c>
    </x:row>
    <x:row r="29">
      <x:c r="A29" s="27" t="str">
        <x:v>TOYOTA-2022-B-2024-07</x:v>
      </x:c>
      <x:c r="B29" s="27" t="str">
        <x:v>2022-B</x:v>
      </x:c>
      <x:c r="C29" s="27" t="str">
        <x:v>2024-07</x:v>
      </x:c>
      <x:c r="D29" s="27" t="str">
        <x:v>2024-07-31</x:v>
      </x:c>
      <x:c r="E29" s="27" t="str">
        <x:v>2024-07-01</x:v>
      </x:c>
      <x:c r="F29" s="27" t="str">
        <x:v>2024-07-31</x:v>
      </x:c>
      <x:c r="G29" s="28" t="n">
        <x:v>31</x:v>
      </x:c>
      <x:c r="H29" s="27" t="str">
        <x:v>2024-08-28</x:v>
      </x:c>
      <x:c r="I29" s="27" t="str">
        <x:v>0000950131-24-003554</x:v>
      </x:c>
      <x:c r="J29" s="27" t="str">
        <x:v>0000950131-24-003550</x:v>
      </x:c>
      <x:c r="K29" s="29" t="n">
        <x:v>395886.07</x:v>
      </x:c>
      <x:c r="L29" s="29" t="n">
        <x:v>-22856.63</x:v>
      </x:c>
      <x:c r="M29" s="29" t="n">
        <x:v>-332254.32</x:v>
      </x:c>
      <x:c r="N29" s="29" t="n">
        <x:v>355110.95</x:v>
      </x:c>
      <x:c r="O29" s="29" t="n">
        <x:v>483986.27</x:v>
      </x:c>
      <x:c r="P29" s="29" t="n">
        <x:v>0</x:v>
      </x:c>
      <x:c r="Q29" s="29" t="n">
        <x:v>128875.32</x:v>
      </x:c>
      <x:c r="R29" s="29" t="n">
        <x:v>0</x:v>
      </x:c>
      <x:c r="S29" s="29" t="n">
        <x:v>0</x:v>
      </x:c>
      <x:c r="T29" s="27" t="str">
        <x:v>PASS</x:v>
      </x:c>
      <x:c r="U29" s="27" t="str">
        <x:v>PASS</x:v>
      </x:c>
      <x:c r="V29" s="29" t="n">
        <x:v>40775.12</x:v>
      </x:c>
      <x:c r="W29" s="27" t="str">
        <x:v>UNRESOLVED</x:v>
      </x:c>
      <x:c r="X29" s="27" t="str">
        <x:v>Residual retained; public certificate sources do not attribute this ABS-EE aggregate delta to a timing, population, correction, or classification component.</x:v>
      </x:c>
      <x:c r="Y29" s="27" t="str">
        <x:v>https://www.sec.gov/Archives/edgar/data/1914281/000095013124003550/d876720dex991.htm</x:v>
      </x:c>
      <x:c r="Z29" s="27" t="str">
        <x:v>8abcfc84771104ab49873be7a730b08b2861c29d437d394572f6ba0a8788ed26</x:v>
      </x:c>
    </x:row>
    <x:row r="30">
      <x:c r="A30" s="27" t="str">
        <x:v>TOYOTA-2022-B-2024-08</x:v>
      </x:c>
      <x:c r="B30" s="27" t="str">
        <x:v>2022-B</x:v>
      </x:c>
      <x:c r="C30" s="27" t="str">
        <x:v>2024-08</x:v>
      </x:c>
      <x:c r="D30" s="27" t="str">
        <x:v>2024-08-31</x:v>
      </x:c>
      <x:c r="E30" s="27" t="str">
        <x:v>2024-08-01</x:v>
      </x:c>
      <x:c r="F30" s="27" t="str">
        <x:v>2024-08-31</x:v>
      </x:c>
      <x:c r="G30" s="28" t="n">
        <x:v>31</x:v>
      </x:c>
      <x:c r="H30" s="27" t="str">
        <x:v>2024-09-26</x:v>
      </x:c>
      <x:c r="I30" s="27" t="str">
        <x:v>0000950131-24-003939</x:v>
      </x:c>
      <x:c r="J30" s="27" t="str">
        <x:v>0000950131-24-003935</x:v>
      </x:c>
      <x:c r="K30" s="29" t="n">
        <x:v>444924.46</x:v>
      </x:c>
      <x:c r="L30" s="29" t="n">
        <x:v>-37026.94</x:v>
      </x:c>
      <x:c r="M30" s="29" t="n">
        <x:v>-305888.02</x:v>
      </x:c>
      <x:c r="N30" s="29" t="n">
        <x:v>342914.96</x:v>
      </x:c>
      <x:c r="O30" s="29" t="n">
        <x:v>634462.6</x:v>
      </x:c>
      <x:c r="P30" s="29" t="n">
        <x:v>0</x:v>
      </x:c>
      <x:c r="Q30" s="29" t="n">
        <x:v>291547.64</x:v>
      </x:c>
      <x:c r="R30" s="29" t="n">
        <x:v>0</x:v>
      </x:c>
      <x:c r="S30" s="29" t="n">
        <x:v>0</x:v>
      </x:c>
      <x:c r="T30" s="27" t="str">
        <x:v>PASS</x:v>
      </x:c>
      <x:c r="U30" s="27" t="str">
        <x:v>PASS</x:v>
      </x:c>
      <x:c r="V30" s="29" t="n">
        <x:v>102009.5</x:v>
      </x:c>
      <x:c r="W30" s="27" t="str">
        <x:v>UNRESOLVED</x:v>
      </x:c>
      <x:c r="X30" s="27" t="str">
        <x:v>Residual retained; public certificate sources do not attribute this ABS-EE aggregate delta to a timing, population, correction, or classification component.</x:v>
      </x:c>
      <x:c r="Y30" s="27" t="str">
        <x:v>https://www.sec.gov/Archives/edgar/data/1914281/000095013124003935/d852513dex991.htm</x:v>
      </x:c>
      <x:c r="Z30" s="27" t="str">
        <x:v>dc380bf12163158952e0aeb747a78a1067035149c674767652a9c27415cf2085</x:v>
      </x:c>
    </x:row>
    <x:row r="31">
      <x:c r="A31" s="27" t="str">
        <x:v>TOYOTA-2022-B-2024-09</x:v>
      </x:c>
      <x:c r="B31" s="27" t="str">
        <x:v>2022-B</x:v>
      </x:c>
      <x:c r="C31" s="27" t="str">
        <x:v>2024-09</x:v>
      </x:c>
      <x:c r="D31" s="27" t="str">
        <x:v>2024-09-30</x:v>
      </x:c>
      <x:c r="E31" s="27" t="str">
        <x:v>2024-09-01</x:v>
      </x:c>
      <x:c r="F31" s="27" t="str">
        <x:v>2024-09-30</x:v>
      </x:c>
      <x:c r="G31" s="28" t="n">
        <x:v>30</x:v>
      </x:c>
      <x:c r="H31" s="27" t="str">
        <x:v>2024-10-29</x:v>
      </x:c>
      <x:c r="I31" s="27" t="str">
        <x:v>0000950131-24-004367</x:v>
      </x:c>
      <x:c r="J31" s="27" t="str">
        <x:v>0000950131-24-004361</x:v>
      </x:c>
      <x:c r="K31" s="29" t="n">
        <x:v>339016.15</x:v>
      </x:c>
      <x:c r="L31" s="29" t="n">
        <x:v>-21153.59</x:v>
      </x:c>
      <x:c r="M31" s="29" t="n">
        <x:v>-266506.94</x:v>
      </x:c>
      <x:c r="N31" s="29" t="n">
        <x:v>287660.53</x:v>
      </x:c>
      <x:c r="O31" s="29" t="n">
        <x:v>483680.9</x:v>
      </x:c>
      <x:c r="P31" s="29" t="n">
        <x:v>0</x:v>
      </x:c>
      <x:c r="Q31" s="29" t="n">
        <x:v>196020.37</x:v>
      </x:c>
      <x:c r="R31" s="29" t="n">
        <x:v>0</x:v>
      </x:c>
      <x:c r="S31" s="29" t="n">
        <x:v>0</x:v>
      </x:c>
      <x:c r="T31" s="27" t="str">
        <x:v>PASS</x:v>
      </x:c>
      <x:c r="U31" s="27" t="str">
        <x:v>PASS</x:v>
      </x:c>
      <x:c r="V31" s="29" t="n">
        <x:v>51355.62</x:v>
      </x:c>
      <x:c r="W31" s="27" t="str">
        <x:v>UNRESOLVED</x:v>
      </x:c>
      <x:c r="X31" s="27" t="str">
        <x:v>Residual retained; public certificate sources do not attribute this ABS-EE aggregate delta to a timing, population, correction, or classification component.</x:v>
      </x:c>
      <x:c r="Y31" s="27" t="str">
        <x:v>https://www.sec.gov/Archives/edgar/data/1914281/000095013124004361/d847499dex991.htm</x:v>
      </x:c>
      <x:c r="Z31" s="27" t="str">
        <x:v>5e7069a7e2639bb3f7911575df6aa0fa1375e52f457040c5253ee8e7c2c2c184</x:v>
      </x:c>
    </x:row>
    <x:row r="32">
      <x:c r="A32" s="27" t="str">
        <x:v>TOYOTA-2022-B-2024-10</x:v>
      </x:c>
      <x:c r="B32" s="27" t="str">
        <x:v>2022-B</x:v>
      </x:c>
      <x:c r="C32" s="27" t="str">
        <x:v>2024-10</x:v>
      </x:c>
      <x:c r="D32" s="27" t="str">
        <x:v>2024-10-31</x:v>
      </x:c>
      <x:c r="E32" s="27" t="str">
        <x:v>2024-10-01</x:v>
      </x:c>
      <x:c r="F32" s="27" t="str">
        <x:v>2024-10-31</x:v>
      </x:c>
      <x:c r="G32" s="28" t="n">
        <x:v>31</x:v>
      </x:c>
      <x:c r="H32" s="27" t="str">
        <x:v>2024-11-26</x:v>
      </x:c>
      <x:c r="I32" s="27" t="str">
        <x:v>0000950131-24-004766</x:v>
      </x:c>
      <x:c r="J32" s="27" t="str">
        <x:v>0000950131-24-004762</x:v>
      </x:c>
      <x:c r="K32" s="29" t="n">
        <x:v>448154.53</x:v>
      </x:c>
      <x:c r="L32" s="29" t="n">
        <x:v>-54653.01</x:v>
      </x:c>
      <x:c r="M32" s="29" t="n">
        <x:v>-333256.82</x:v>
      </x:c>
      <x:c r="N32" s="29" t="n">
        <x:v>387909.83</x:v>
      </x:c>
      <x:c r="O32" s="29" t="n">
        <x:v>416307.94</x:v>
      </x:c>
      <x:c r="P32" s="29" t="n">
        <x:v>0</x:v>
      </x:c>
      <x:c r="Q32" s="29" t="n">
        <x:v>28398.11</x:v>
      </x:c>
      <x:c r="R32" s="29" t="n">
        <x:v>0</x:v>
      </x:c>
      <x:c r="S32" s="29" t="n">
        <x:v>0</x:v>
      </x:c>
      <x:c r="T32" s="27" t="str">
        <x:v>PASS</x:v>
      </x:c>
      <x:c r="U32" s="27" t="str">
        <x:v>PASS</x:v>
      </x:c>
      <x:c r="V32" s="29" t="n">
        <x:v>60244.7</x:v>
      </x:c>
      <x:c r="W32" s="27" t="str">
        <x:v>UNRESOLVED</x:v>
      </x:c>
      <x:c r="X32" s="27" t="str">
        <x:v>Residual retained; public certificate sources do not attribute this ABS-EE aggregate delta to a timing, population, correction, or classification component.</x:v>
      </x:c>
      <x:c r="Y32" s="27" t="str">
        <x:v>https://www.sec.gov/Archives/edgar/data/1914281/000095013124004762/d801365dex991.htm</x:v>
      </x:c>
      <x:c r="Z32" s="27" t="str">
        <x:v>d9df0422708cc12122ea6552681d5c1517101949d589c3ac1d91f986eba13d43</x:v>
      </x:c>
    </x:row>
    <x:row r="33">
      <x:c r="A33" s="27" t="str">
        <x:v>TOYOTA-2022-B-2024-11</x:v>
      </x:c>
      <x:c r="B33" s="27" t="str">
        <x:v>2022-B</x:v>
      </x:c>
      <x:c r="C33" s="27" t="str">
        <x:v>2024-11</x:v>
      </x:c>
      <x:c r="D33" s="27" t="str">
        <x:v>2024-11-30</x:v>
      </x:c>
      <x:c r="E33" s="27" t="str">
        <x:v>2024-11-01</x:v>
      </x:c>
      <x:c r="F33" s="27" t="str">
        <x:v>2024-11-30</x:v>
      </x:c>
      <x:c r="G33" s="28" t="n">
        <x:v>30</x:v>
      </x:c>
      <x:c r="H33" s="27" t="str">
        <x:v>2024-12-20</x:v>
      </x:c>
      <x:c r="I33" s="27" t="str">
        <x:v>0000950131-24-005139</x:v>
      </x:c>
      <x:c r="J33" s="27" t="str">
        <x:v>0000950131-24-005135</x:v>
      </x:c>
      <x:c r="K33" s="29" t="n">
        <x:v>427243.58</x:v>
      </x:c>
      <x:c r="L33" s="29" t="n">
        <x:v>-25676.3</x:v>
      </x:c>
      <x:c r="M33" s="29" t="n">
        <x:v>-277915.64</x:v>
      </x:c>
      <x:c r="N33" s="29" t="n">
        <x:v>303591.94</x:v>
      </x:c>
      <x:c r="O33" s="29" t="n">
        <x:v>404815.33</x:v>
      </x:c>
      <x:c r="P33" s="29" t="n">
        <x:v>0</x:v>
      </x:c>
      <x:c r="Q33" s="29" t="n">
        <x:v>101223.39</x:v>
      </x:c>
      <x:c r="R33" s="29" t="n">
        <x:v>0</x:v>
      </x:c>
      <x:c r="S33" s="29" t="n">
        <x:v>0</x:v>
      </x:c>
      <x:c r="T33" s="27" t="str">
        <x:v>PASS</x:v>
      </x:c>
      <x:c r="U33" s="27" t="str">
        <x:v>PASS</x:v>
      </x:c>
      <x:c r="V33" s="29" t="n">
        <x:v>123651.64</x:v>
      </x:c>
      <x:c r="W33" s="27" t="str">
        <x:v>UNRESOLVED</x:v>
      </x:c>
      <x:c r="X33" s="27" t="str">
        <x:v>Residual retained; public certificate sources do not attribute this ABS-EE aggregate delta to a timing, population, correction, or classification component.</x:v>
      </x:c>
      <x:c r="Y33" s="27" t="str">
        <x:v>https://www.sec.gov/Archives/edgar/data/1914281/000095013124005135/d869862dex991.htm</x:v>
      </x:c>
      <x:c r="Z33" s="27" t="str">
        <x:v>b76c99fc4d79b3477bf62e454fd31f1dc30b704ce19fa265b7ce1d97f5630127</x:v>
      </x:c>
    </x:row>
    <x:row r="34">
      <x:c r="A34" s="27" t="str">
        <x:v>TOYOTA-2022-B-2024-12</x:v>
      </x:c>
      <x:c r="B34" s="27" t="str">
        <x:v>2022-B</x:v>
      </x:c>
      <x:c r="C34" s="27" t="str">
        <x:v>2024-12</x:v>
      </x:c>
      <x:c r="D34" s="27" t="str">
        <x:v>2024-12-31</x:v>
      </x:c>
      <x:c r="E34" s="27" t="str">
        <x:v>2024-12-01</x:v>
      </x:c>
      <x:c r="F34" s="27" t="str">
        <x:v>2024-12-31</x:v>
      </x:c>
      <x:c r="G34" s="28" t="n">
        <x:v>31</x:v>
      </x:c>
      <x:c r="H34" s="27" t="str">
        <x:v>2025-01-29</x:v>
      </x:c>
      <x:c r="I34" s="27" t="str">
        <x:v>0000950131-25-000447</x:v>
      </x:c>
      <x:c r="J34" s="27" t="str">
        <x:v>0000950131-25-000443</x:v>
      </x:c>
      <x:c r="K34" s="29" t="n">
        <x:v>438445.41</x:v>
      </x:c>
      <x:c r="L34" s="29" t="n">
        <x:v>7402.26</x:v>
      </x:c>
      <x:c r="M34" s="29" t="n">
        <x:v>-378414.15</x:v>
      </x:c>
      <x:c r="N34" s="29" t="n">
        <x:v>371011.89</x:v>
      </x:c>
      <x:c r="O34" s="29" t="n">
        <x:v>378626.35</x:v>
      </x:c>
      <x:c r="P34" s="29" t="n">
        <x:v>0</x:v>
      </x:c>
      <x:c r="Q34" s="29" t="n">
        <x:v>7614.46</x:v>
      </x:c>
      <x:c r="R34" s="29" t="n">
        <x:v>0</x:v>
      </x:c>
      <x:c r="S34" s="29" t="n">
        <x:v>0</x:v>
      </x:c>
      <x:c r="T34" s="27" t="str">
        <x:v>PASS</x:v>
      </x:c>
      <x:c r="U34" s="27" t="str">
        <x:v>PASS</x:v>
      </x:c>
      <x:c r="V34" s="29" t="n">
        <x:v>67433.52</x:v>
      </x:c>
      <x:c r="W34" s="27" t="str">
        <x:v>UNRESOLVED</x:v>
      </x:c>
      <x:c r="X34" s="27" t="str">
        <x:v>Residual retained; public certificate sources do not attribute this ABS-EE aggregate delta to a timing, population, correction, or classification component.</x:v>
      </x:c>
      <x:c r="Y34" s="27" t="str">
        <x:v>https://www.sec.gov/Archives/edgar/data/1914281/000095013125000443/d773813dex991.htm</x:v>
      </x:c>
      <x:c r="Z34" s="27" t="str">
        <x:v>02293b3b2997db9c2fa117550ff9089af3599a726ca294884a8129913781481f</x:v>
      </x:c>
    </x:row>
    <x:row r="35">
      <x:c r="A35" s="27" t="str">
        <x:v>TOYOTA-2022-B-2025-01</x:v>
      </x:c>
      <x:c r="B35" s="27" t="str">
        <x:v>2022-B</x:v>
      </x:c>
      <x:c r="C35" s="27" t="str">
        <x:v>2025-01</x:v>
      </x:c>
      <x:c r="D35" s="27" t="str">
        <x:v>2025-01-31</x:v>
      </x:c>
      <x:c r="E35" s="27" t="str">
        <x:v>2025-01-01</x:v>
      </x:c>
      <x:c r="F35" s="27" t="str">
        <x:v>2025-01-31</x:v>
      </x:c>
      <x:c r="G35" s="28" t="n">
        <x:v>31</x:v>
      </x:c>
      <x:c r="H35" s="27" t="str">
        <x:v>2025-02-26</x:v>
      </x:c>
      <x:c r="I35" s="27" t="str">
        <x:v>0000950131-25-000868</x:v>
      </x:c>
      <x:c r="J35" s="27" t="str">
        <x:v>0000950131-25-000863</x:v>
      </x:c>
      <x:c r="K35" s="29" t="n">
        <x:v>485015.55</x:v>
      </x:c>
      <x:c r="L35" s="29" t="n">
        <x:v>-69381.37</x:v>
      </x:c>
      <x:c r="M35" s="29" t="n">
        <x:v>-379970.04</x:v>
      </x:c>
      <x:c r="N35" s="29" t="n">
        <x:v>449351.41</x:v>
      </x:c>
      <x:c r="O35" s="29" t="n">
        <x:v>476032.84</x:v>
      </x:c>
      <x:c r="P35" s="29" t="n">
        <x:v>0</x:v>
      </x:c>
      <x:c r="Q35" s="29" t="n">
        <x:v>26681.43</x:v>
      </x:c>
      <x:c r="R35" s="29" t="n">
        <x:v>0</x:v>
      </x:c>
      <x:c r="S35" s="29" t="n">
        <x:v>0</x:v>
      </x:c>
      <x:c r="T35" s="27" t="str">
        <x:v>PASS</x:v>
      </x:c>
      <x:c r="U35" s="27" t="str">
        <x:v>PASS</x:v>
      </x:c>
      <x:c r="V35" s="29" t="n">
        <x:v>35664.14</x:v>
      </x:c>
      <x:c r="W35" s="27" t="str">
        <x:v>UNRESOLVED</x:v>
      </x:c>
      <x:c r="X35" s="27" t="str">
        <x:v>Residual retained; public certificate sources do not attribute this ABS-EE aggregate delta to a timing, population, correction, or classification component.</x:v>
      </x:c>
      <x:c r="Y35" s="27" t="str">
        <x:v>https://www.sec.gov/Archives/edgar/data/1914281/000095013125000863/d892079dex991.htm</x:v>
      </x:c>
      <x:c r="Z35" s="27" t="str">
        <x:v>3ad76d3b1204b6aa9a230d41aab064ed4bcd91f899e8aa37933c6d6d81792484</x:v>
      </x:c>
    </x:row>
    <x:row r="36">
      <x:c r="A36" s="27" t="str">
        <x:v>TOYOTA-2022-B-2025-02</x:v>
      </x:c>
      <x:c r="B36" s="27" t="str">
        <x:v>2022-B</x:v>
      </x:c>
      <x:c r="C36" s="27" t="str">
        <x:v>2025-02</x:v>
      </x:c>
      <x:c r="D36" s="27" t="str">
        <x:v>2025-02-28</x:v>
      </x:c>
      <x:c r="E36" s="27" t="str">
        <x:v>2025-02-01</x:v>
      </x:c>
      <x:c r="F36" s="27" t="str">
        <x:v>2025-02-28</x:v>
      </x:c>
      <x:c r="G36" s="28" t="n">
        <x:v>28</x:v>
      </x:c>
      <x:c r="H36" s="27" t="str">
        <x:v>2025-03-27</x:v>
      </x:c>
      <x:c r="I36" s="27" t="str">
        <x:v>0000950131-25-001329</x:v>
      </x:c>
      <x:c r="J36" s="27" t="str">
        <x:v>0000950131-25-001325</x:v>
      </x:c>
      <x:c r="K36" s="29" t="n">
        <x:v>298751.07</x:v>
      </x:c>
      <x:c r="L36" s="29" t="n">
        <x:v>-9619.69</x:v>
      </x:c>
      <x:c r="M36" s="29" t="n">
        <x:v>-252114.88</x:v>
      </x:c>
      <x:c r="N36" s="29" t="n">
        <x:v>261734.57</x:v>
      </x:c>
      <x:c r="O36" s="29" t="n">
        <x:v>381191.22</x:v>
      </x:c>
      <x:c r="P36" s="29" t="n">
        <x:v>0</x:v>
      </x:c>
      <x:c r="Q36" s="29" t="n">
        <x:v>119456.65</x:v>
      </x:c>
      <x:c r="R36" s="29" t="n">
        <x:v>0</x:v>
      </x:c>
      <x:c r="S36" s="29" t="n">
        <x:v>0</x:v>
      </x:c>
      <x:c r="T36" s="27" t="str">
        <x:v>PASS</x:v>
      </x:c>
      <x:c r="U36" s="27" t="str">
        <x:v>PASS</x:v>
      </x:c>
      <x:c r="V36" s="29" t="n">
        <x:v>37016.5</x:v>
      </x:c>
      <x:c r="W36" s="27" t="str">
        <x:v>UNRESOLVED</x:v>
      </x:c>
      <x:c r="X36" s="27" t="str">
        <x:v>Residual retained; public certificate sources do not attribute this ABS-EE aggregate delta to a timing, population, correction, or classification component.</x:v>
      </x:c>
      <x:c r="Y36" s="27" t="str">
        <x:v>https://www.sec.gov/Archives/edgar/data/1914281/000095013125001325/d906153dex991.htm</x:v>
      </x:c>
      <x:c r="Z36" s="27" t="str">
        <x:v>8752b82dd75c2c8222c3be0aba5c71eec37059e3c3d54eb0b7bdcec1e8c7b765</x:v>
      </x:c>
    </x:row>
    <x:row r="37">
      <x:c r="A37" s="27" t="str">
        <x:v>TOYOTA-2022-B-2025-03</x:v>
      </x:c>
      <x:c r="B37" s="27" t="str">
        <x:v>2022-B</x:v>
      </x:c>
      <x:c r="C37" s="27" t="str">
        <x:v>2025-03</x:v>
      </x:c>
      <x:c r="D37" s="27" t="str">
        <x:v>2025-03-31</x:v>
      </x:c>
      <x:c r="E37" s="27" t="str">
        <x:v>2025-03-01</x:v>
      </x:c>
      <x:c r="F37" s="27" t="str">
        <x:v>2025-03-31</x:v>
      </x:c>
      <x:c r="G37" s="28" t="n">
        <x:v>31</x:v>
      </x:c>
      <x:c r="H37" s="27" t="str">
        <x:v>2025-04-28</x:v>
      </x:c>
      <x:c r="I37" s="27" t="str">
        <x:v>0000950131-25-001805</x:v>
      </x:c>
      <x:c r="J37" s="27" t="str">
        <x:v>0000950131-25-001799</x:v>
      </x:c>
      <x:c r="K37" s="29" t="n">
        <x:v>370248.99</x:v>
      </x:c>
      <x:c r="L37" s="29" t="n">
        <x:v>-35187.75</x:v>
      </x:c>
      <x:c r="M37" s="29" t="n">
        <x:v>-282337.44</x:v>
      </x:c>
      <x:c r="N37" s="29" t="n">
        <x:v>317525.19</x:v>
      </x:c>
      <x:c r="O37" s="29" t="n">
        <x:v>325875.67</x:v>
      </x:c>
      <x:c r="P37" s="29" t="n">
        <x:v>0</x:v>
      </x:c>
      <x:c r="Q37" s="29" t="n">
        <x:v>8350.48</x:v>
      </x:c>
      <x:c r="R37" s="29" t="n">
        <x:v>0</x:v>
      </x:c>
      <x:c r="S37" s="29" t="n">
        <x:v>0</x:v>
      </x:c>
      <x:c r="T37" s="27" t="str">
        <x:v>PASS</x:v>
      </x:c>
      <x:c r="U37" s="27" t="str">
        <x:v>PASS</x:v>
      </x:c>
      <x:c r="V37" s="29" t="n">
        <x:v>52723.8</x:v>
      </x:c>
      <x:c r="W37" s="27" t="str">
        <x:v>UNRESOLVED</x:v>
      </x:c>
      <x:c r="X37" s="27" t="str">
        <x:v>Residual retained; public certificate sources do not attribute this ABS-EE aggregate delta to a timing, population, correction, or classification component.</x:v>
      </x:c>
      <x:c r="Y37" s="27" t="str">
        <x:v>https://www.sec.gov/Archives/edgar/data/1914281/000095013125001799/d940470dex991.htm</x:v>
      </x:c>
      <x:c r="Z37" s="27" t="str">
        <x:v>ac3b4aa4d60954ad10438a94796a4b93e02316dbe36e089c7e666f88666c1f37</x:v>
      </x:c>
    </x:row>
    <x:row r="38">
      <x:c r="A38" s="27" t="str">
        <x:v>TOYOTA-2022-B-2025-04</x:v>
      </x:c>
      <x:c r="B38" s="27" t="str">
        <x:v>2022-B</x:v>
      </x:c>
      <x:c r="C38" s="27" t="str">
        <x:v>2025-04</x:v>
      </x:c>
      <x:c r="D38" s="27" t="str">
        <x:v>2025-04-30</x:v>
      </x:c>
      <x:c r="E38" s="27" t="str">
        <x:v>2025-04-01</x:v>
      </x:c>
      <x:c r="F38" s="27" t="str">
        <x:v>2025-04-30</x:v>
      </x:c>
      <x:c r="G38" s="28" t="n">
        <x:v>30</x:v>
      </x:c>
      <x:c r="H38" s="27" t="str">
        <x:v>2025-05-28</x:v>
      </x:c>
      <x:c r="I38" s="27" t="str">
        <x:v>0000950131-25-002256</x:v>
      </x:c>
      <x:c r="J38" s="27" t="str">
        <x:v>0000950131-25-002252</x:v>
      </x:c>
      <x:c r="K38" s="29" t="n">
        <x:v>277551.91</x:v>
      </x:c>
      <x:c r="L38" s="29" t="n">
        <x:v>-8456</x:v>
      </x:c>
      <x:c r="M38" s="29" t="n">
        <x:v>-204763.79</x:v>
      </x:c>
      <x:c r="N38" s="29" t="n">
        <x:v>213219.79</x:v>
      </x:c>
      <x:c r="O38" s="29" t="n">
        <x:v>432403.14</x:v>
      </x:c>
      <x:c r="P38" s="29" t="n">
        <x:v>0</x:v>
      </x:c>
      <x:c r="Q38" s="29" t="n">
        <x:v>219183.35</x:v>
      </x:c>
      <x:c r="R38" s="29" t="n">
        <x:v>0</x:v>
      </x:c>
      <x:c r="S38" s="29" t="n">
        <x:v>0</x:v>
      </x:c>
      <x:c r="T38" s="27" t="str">
        <x:v>PASS</x:v>
      </x:c>
      <x:c r="U38" s="27" t="str">
        <x:v>PASS</x:v>
      </x:c>
      <x:c r="V38" s="29" t="n">
        <x:v>64332.12</x:v>
      </x:c>
      <x:c r="W38" s="27" t="str">
        <x:v>UNRESOLVED</x:v>
      </x:c>
      <x:c r="X38" s="27" t="str">
        <x:v>Residual retained; public certificate sources do not attribute this ABS-EE aggregate delta to a timing, population, correction, or classification component.</x:v>
      </x:c>
      <x:c r="Y38" s="27" t="str">
        <x:v>https://www.sec.gov/Archives/edgar/data/1914281/000095013125002252/d948010dex991.htm</x:v>
      </x:c>
      <x:c r="Z38" s="27" t="str">
        <x:v>5cb1cc3485279fda6d075856ff2892cfe0e86a70923689ccc39b8cb751a662c0</x:v>
      </x:c>
    </x:row>
    <x:row r="39">
      <x:c r="A39" s="27" t="str">
        <x:v>TOYOTA-2022-B-2025-05</x:v>
      </x:c>
      <x:c r="B39" s="27" t="str">
        <x:v>2022-B</x:v>
      </x:c>
      <x:c r="C39" s="27" t="str">
        <x:v>2025-05</x:v>
      </x:c>
      <x:c r="D39" s="27" t="str">
        <x:v>2025-05-31</x:v>
      </x:c>
      <x:c r="E39" s="27" t="str">
        <x:v>2025-05-01</x:v>
      </x:c>
      <x:c r="F39" s="27" t="str">
        <x:v>2025-05-31</x:v>
      </x:c>
      <x:c r="G39" s="28" t="n">
        <x:v>31</x:v>
      </x:c>
      <x:c r="H39" s="27" t="str">
        <x:v>2025-06-26</x:v>
      </x:c>
      <x:c r="I39" s="27" t="str">
        <x:v>0000950131-25-002654</x:v>
      </x:c>
      <x:c r="J39" s="27" t="str">
        <x:v>0000950131-25-002649</x:v>
      </x:c>
      <x:c r="K39" s="29" t="n">
        <x:v>397877.94</x:v>
      </x:c>
      <x:c r="L39" s="29" t="n">
        <x:v>3106.63</x:v>
      </x:c>
      <x:c r="M39" s="29" t="n">
        <x:v>-375608.53</x:v>
      </x:c>
      <x:c r="N39" s="29" t="n">
        <x:v>372501.9</x:v>
      </x:c>
      <x:c r="O39" s="29" t="n">
        <x:v>100510.58</x:v>
      </x:c>
      <x:c r="P39" s="29" t="n">
        <x:v>0</x:v>
      </x:c>
      <x:c r="Q39" s="29" t="n">
        <x:v>-271991.32</x:v>
      </x:c>
      <x:c r="R39" s="29" t="n">
        <x:v>0</x:v>
      </x:c>
      <x:c r="S39" s="29" t="n">
        <x:v>0</x:v>
      </x:c>
      <x:c r="T39" s="27" t="str">
        <x:v>PASS</x:v>
      </x:c>
      <x:c r="U39" s="27" t="str">
        <x:v>PASS</x:v>
      </x:c>
      <x:c r="V39" s="29" t="n">
        <x:v>25376.04</x:v>
      </x:c>
      <x:c r="W39" s="27" t="str">
        <x:v>UNRESOLVED</x:v>
      </x:c>
      <x:c r="X39" s="27" t="str">
        <x:v>Residual retained; public certificate sources do not attribute this ABS-EE aggregate delta to a timing, population, correction, or classification component.</x:v>
      </x:c>
      <x:c r="Y39" s="27" t="str">
        <x:v>https://www.sec.gov/Archives/edgar/data/1914281/000095013125002649/d23037dex991.htm</x:v>
      </x:c>
      <x:c r="Z39" s="27" t="str">
        <x:v>42b625e199b7ea66ead6242e84103e7499e35fd3c5aa43012bca9ff108f8d02c</x:v>
      </x:c>
    </x:row>
    <x:row r="40">
      <x:c r="A40" s="27" t="str">
        <x:v>TOYOTA-2022-B-2025-06</x:v>
      </x:c>
      <x:c r="B40" s="27" t="str">
        <x:v>2022-B</x:v>
      </x:c>
      <x:c r="C40" s="27" t="str">
        <x:v>2025-06</x:v>
      </x:c>
      <x:c r="D40" s="27" t="str">
        <x:v>2025-06-30</x:v>
      </x:c>
      <x:c r="E40" s="27" t="str">
        <x:v>2025-06-01</x:v>
      </x:c>
      <x:c r="F40" s="27" t="str">
        <x:v>2025-06-30</x:v>
      </x:c>
      <x:c r="G40" s="28" t="n">
        <x:v>30</x:v>
      </x:c>
      <x:c r="H40" s="27" t="str">
        <x:v>2025-07-29</x:v>
      </x:c>
      <x:c r="I40" s="27" t="str">
        <x:v>0000950131-25-003090</x:v>
      </x:c>
      <x:c r="J40" s="27" t="str">
        <x:v>0000950131-25-003086</x:v>
      </x:c>
      <x:c r="K40" s="29" t="n">
        <x:v>495041.49</x:v>
      </x:c>
      <x:c r="L40" s="29" t="n">
        <x:v>-67096.81</x:v>
      </x:c>
      <x:c r="M40" s="29" t="n">
        <x:v>-369484.18</x:v>
      </x:c>
      <x:c r="N40" s="29" t="n">
        <x:v>436580.99</x:v>
      </x:c>
      <x:c r="O40" s="29" t="n">
        <x:v>335427.15</x:v>
      </x:c>
      <x:c r="P40" s="29" t="n">
        <x:v>0</x:v>
      </x:c>
      <x:c r="Q40" s="29" t="n">
        <x:v>-101153.84</x:v>
      </x:c>
      <x:c r="R40" s="29" t="n">
        <x:v>0</x:v>
      </x:c>
      <x:c r="S40" s="29" t="n">
        <x:v>0</x:v>
      </x:c>
      <x:c r="T40" s="27" t="str">
        <x:v>PASS</x:v>
      </x:c>
      <x:c r="U40" s="27" t="str">
        <x:v>PASS</x:v>
      </x:c>
      <x:c r="V40" s="29" t="n">
        <x:v>58460.5</x:v>
      </x:c>
      <x:c r="W40" s="27" t="str">
        <x:v>UNRESOLVED</x:v>
      </x:c>
      <x:c r="X40" s="27" t="str">
        <x:v>Residual retained; public certificate sources do not attribute this ABS-EE aggregate delta to a timing, population, correction, or classification component.</x:v>
      </x:c>
      <x:c r="Y40" s="27" t="str">
        <x:v>https://www.sec.gov/Archives/edgar/data/1914281/000095013125003086/d933712dex991.htm</x:v>
      </x:c>
      <x:c r="Z40" s="27" t="str">
        <x:v>a02a76c32d84214971d89b4ddea6b2413ceb600a70d4400653c483cb364b9010</x:v>
      </x:c>
    </x:row>
    <x:row r="41">
      <x:c r="A41" s="27" t="str">
        <x:v>TOYOTA-2022-B-2025-07</x:v>
      </x:c>
      <x:c r="B41" s="27" t="str">
        <x:v>2022-B</x:v>
      </x:c>
      <x:c r="C41" s="27" t="str">
        <x:v>2025-07</x:v>
      </x:c>
      <x:c r="D41" s="27" t="str">
        <x:v>2025-07-31</x:v>
      </x:c>
      <x:c r="E41" s="27" t="str">
        <x:v>2025-07-01</x:v>
      </x:c>
      <x:c r="F41" s="27" t="str">
        <x:v>2025-07-31</x:v>
      </x:c>
      <x:c r="G41" s="28" t="n">
        <x:v>31</x:v>
      </x:c>
      <x:c r="H41" s="27" t="str">
        <x:v>2025-08-27</x:v>
      </x:c>
      <x:c r="I41" s="27" t="str">
        <x:v>0000950131-25-003490</x:v>
      </x:c>
      <x:c r="J41" s="27" t="str">
        <x:v>0000950131-25-003486</x:v>
      </x:c>
      <x:c r="K41" s="29" t="n">
        <x:v>234212.42</x:v>
      </x:c>
      <x:c r="L41" s="29" t="n">
        <x:v>-1347.34</x:v>
      </x:c>
      <x:c r="M41" s="29" t="n">
        <x:v>-191830.08</x:v>
      </x:c>
      <x:c r="N41" s="29" t="n">
        <x:v>193177.42</x:v>
      </x:c>
      <x:c r="O41" s="29" t="n">
        <x:v>178987.53</x:v>
      </x:c>
      <x:c r="P41" s="29" t="n">
        <x:v>0</x:v>
      </x:c>
      <x:c r="Q41" s="29" t="n">
        <x:v>-14189.89</x:v>
      </x:c>
      <x:c r="R41" s="29" t="n">
        <x:v>0</x:v>
      </x:c>
      <x:c r="S41" s="29" t="n">
        <x:v>0</x:v>
      </x:c>
      <x:c r="T41" s="27" t="str">
        <x:v>PASS</x:v>
      </x:c>
      <x:c r="U41" s="27" t="str">
        <x:v>PASS</x:v>
      </x:c>
      <x:c r="V41" s="29" t="n">
        <x:v>41035</x:v>
      </x:c>
      <x:c r="W41" s="27" t="str">
        <x:v>UNRESOLVED</x:v>
      </x:c>
      <x:c r="X41" s="27" t="str">
        <x:v>Residual retained; public certificate sources do not attribute this ABS-EE aggregate delta to a timing, population, correction, or classification component.</x:v>
      </x:c>
      <x:c r="Y41" s="27" t="str">
        <x:v>https://www.sec.gov/Archives/edgar/data/1914281/000095013125003486/d66350dex991.htm</x:v>
      </x:c>
      <x:c r="Z41" s="27" t="str">
        <x:v>71313c5c267670e306d5fb8c8cf2992f7236ab9f310c7bd435adc994c227472f</x:v>
      </x:c>
    </x:row>
    <x:row r="42">
      <x:c r="A42" s="27" t="str">
        <x:v>TOYOTA-2022-B-2025-08</x:v>
      </x:c>
      <x:c r="B42" s="27" t="str">
        <x:v>2022-B</x:v>
      </x:c>
      <x:c r="C42" s="27" t="str">
        <x:v>2025-08</x:v>
      </x:c>
      <x:c r="D42" s="27" t="str">
        <x:v>2025-08-31</x:v>
      </x:c>
      <x:c r="E42" s="27" t="str">
        <x:v>2025-08-01</x:v>
      </x:c>
      <x:c r="F42" s="27" t="str">
        <x:v>2025-08-31</x:v>
      </x:c>
      <x:c r="G42" s="28" t="n">
        <x:v>31</x:v>
      </x:c>
      <x:c r="H42" s="27" t="str">
        <x:v>2025-09-26</x:v>
      </x:c>
      <x:c r="I42" s="27" t="str">
        <x:v>0001193125-25-219447</x:v>
      </x:c>
      <x:c r="J42" s="27" t="str">
        <x:v>0001193125-25-219415</x:v>
      </x:c>
      <x:c r="K42" s="29" t="n">
        <x:v>293800.28</x:v>
      </x:c>
      <x:c r="L42" s="29" t="n">
        <x:v>-43595.85</x:v>
      </x:c>
      <x:c r="M42" s="29" t="n">
        <x:v>-240062.05</x:v>
      </x:c>
      <x:c r="N42" s="29" t="n">
        <x:v>283657.9</x:v>
      </x:c>
      <x:c r="O42" s="29" t="n">
        <x:v>230402.66</x:v>
      </x:c>
      <x:c r="P42" s="29" t="n">
        <x:v>0</x:v>
      </x:c>
      <x:c r="Q42" s="29" t="n">
        <x:v>-53255.24</x:v>
      </x:c>
      <x:c r="R42" s="29" t="n">
        <x:v>0</x:v>
      </x:c>
      <x:c r="S42" s="29" t="n">
        <x:v>0</x:v>
      </x:c>
      <x:c r="T42" s="27" t="str">
        <x:v>PASS</x:v>
      </x:c>
      <x:c r="U42" s="27" t="str">
        <x:v>PASS</x:v>
      </x:c>
      <x:c r="V42" s="29" t="n">
        <x:v>10142.38</x:v>
      </x:c>
      <x:c r="W42" s="27" t="str">
        <x:v>UNRESOLVED</x:v>
      </x:c>
      <x:c r="X42" s="27" t="str">
        <x:v>Residual retained; public certificate sources do not attribute this ABS-EE aggregate delta to a timing, population, correction, or classification component.</x:v>
      </x:c>
      <x:c r="Y42" s="27" t="str">
        <x:v>https://www.sec.gov/Archives/edgar/data/1914281/000119312525219415/d938407dex991.htm</x:v>
      </x:c>
      <x:c r="Z42" s="27" t="str">
        <x:v>afc4786bfef840881201bc3d1d95fe2b1a15b9dd637ebe159259694c43cbe92b</x:v>
      </x:c>
    </x:row>
    <x:row r="43">
      <x:c r="A43" s="27" t="str">
        <x:v>TOYOTA-2022-B-2025-09</x:v>
      </x:c>
      <x:c r="B43" s="27" t="str">
        <x:v>2022-B</x:v>
      </x:c>
      <x:c r="C43" s="27" t="str">
        <x:v>2025-09</x:v>
      </x:c>
      <x:c r="D43" s="27" t="str">
        <x:v>2025-09-30</x:v>
      </x:c>
      <x:c r="E43" s="27" t="str">
        <x:v>2025-09-01</x:v>
      </x:c>
      <x:c r="F43" s="27" t="str">
        <x:v>2025-09-30</x:v>
      </x:c>
      <x:c r="G43" s="28" t="n">
        <x:v>30</x:v>
      </x:c>
      <x:c r="H43" s="27" t="str">
        <x:v>2025-10-29</x:v>
      </x:c>
      <x:c r="I43" s="27" t="str">
        <x:v>0001193125-25-255453</x:v>
      </x:c>
      <x:c r="J43" s="27" t="str">
        <x:v>0001193125-25-255446</x:v>
      </x:c>
      <x:c r="K43" s="29" t="n">
        <x:v>192018.88</x:v>
      </x:c>
      <x:c r="L43" s="29" t="n">
        <x:v>3889.57</x:v>
      </x:c>
      <x:c r="M43" s="29" t="n">
        <x:v>-165559.79</x:v>
      </x:c>
      <x:c r="N43" s="29" t="n">
        <x:v>161670.22</x:v>
      </x:c>
      <x:c r="O43" s="29" t="n">
        <x:v>210130.28</x:v>
      </x:c>
      <x:c r="P43" s="29" t="n">
        <x:v>0</x:v>
      </x:c>
      <x:c r="Q43" s="29" t="n">
        <x:v>48460.06</x:v>
      </x:c>
      <x:c r="R43" s="29" t="n">
        <x:v>0</x:v>
      </x:c>
      <x:c r="S43" s="29" t="n">
        <x:v>0</x:v>
      </x:c>
      <x:c r="T43" s="27" t="str">
        <x:v>PASS</x:v>
      </x:c>
      <x:c r="U43" s="27" t="str">
        <x:v>PASS</x:v>
      </x:c>
      <x:c r="V43" s="29" t="n">
        <x:v>30348.66</x:v>
      </x:c>
      <x:c r="W43" s="27" t="str">
        <x:v>UNRESOLVED</x:v>
      </x:c>
      <x:c r="X43" s="27" t="str">
        <x:v>Residual retained; public certificate sources do not attribute this ABS-EE aggregate delta to a timing, population, correction, or classification component.</x:v>
      </x:c>
      <x:c r="Y43" s="27" t="str">
        <x:v>https://www.sec.gov/Archives/edgar/data/1914281/000119312525255446/d939448dex991.htm</x:v>
      </x:c>
      <x:c r="Z43" s="27" t="str">
        <x:v>5e6ed9b84e900a8e0c83ec09e063303fd983ce88054f14eeea159b8fb87c4184</x:v>
      </x:c>
    </x:row>
    <x:row r="44">
      <x:c r="A44" s="27" t="str">
        <x:v>TOYOTA-2022-B-2025-10</x:v>
      </x:c>
      <x:c r="B44" s="27" t="str">
        <x:v>2022-B</x:v>
      </x:c>
      <x:c r="C44" s="27" t="str">
        <x:v>2025-10</x:v>
      </x:c>
      <x:c r="D44" s="27" t="str">
        <x:v>2025-10-31</x:v>
      </x:c>
      <x:c r="E44" s="27" t="str">
        <x:v>2025-10-01</x:v>
      </x:c>
      <x:c r="F44" s="27" t="str">
        <x:v>2025-10-31</x:v>
      </x:c>
      <x:c r="G44" s="28" t="n">
        <x:v>31</x:v>
      </x:c>
      <x:c r="H44" s="27" t="str">
        <x:v>2025-11-25</x:v>
      </x:c>
      <x:c r="I44" s="27" t="str">
        <x:v>0001193125-25-295319</x:v>
      </x:c>
      <x:c r="J44" s="27" t="str">
        <x:v>0001193125-25-295313</x:v>
      </x:c>
      <x:c r="K44" s="29" t="n">
        <x:v>322298.59</x:v>
      </x:c>
      <x:c r="L44" s="29" t="n">
        <x:v>-10138.78</x:v>
      </x:c>
      <x:c r="M44" s="29" t="n">
        <x:v>-252608.87</x:v>
      </x:c>
      <x:c r="N44" s="29" t="n">
        <x:v>262747.65</x:v>
      </x:c>
      <x:c r="O44" s="29" t="n">
        <x:v>228539.01</x:v>
      </x:c>
      <x:c r="P44" s="29" t="n">
        <x:v>0</x:v>
      </x:c>
      <x:c r="Q44" s="29" t="n">
        <x:v>-34208.64</x:v>
      </x:c>
      <x:c r="R44" s="29" t="n">
        <x:v>0</x:v>
      </x:c>
      <x:c r="S44" s="29" t="n">
        <x:v>0</x:v>
      </x:c>
      <x:c r="T44" s="27" t="str">
        <x:v>PASS</x:v>
      </x:c>
      <x:c r="U44" s="27" t="str">
        <x:v>PASS</x:v>
      </x:c>
      <x:c r="V44" s="29" t="n">
        <x:v>59550.94</x:v>
      </x:c>
      <x:c r="W44" s="27" t="str">
        <x:v>UNRESOLVED</x:v>
      </x:c>
      <x:c r="X44" s="27" t="str">
        <x:v>Residual retained; public certificate sources do not attribute this ABS-EE aggregate delta to a timing, population, correction, or classification component.</x:v>
      </x:c>
      <x:c r="Y44" s="27" t="str">
        <x:v>https://www.sec.gov/Archives/edgar/data/1914281/000119312525295313/d28714dex991.htm</x:v>
      </x:c>
      <x:c r="Z44" s="27" t="str">
        <x:v>3f7c6d475a1d34d52ac2b59951c644ddacdb2fbc2faa615f15fe9d3664ef9608</x:v>
      </x:c>
    </x:row>
    <x:row r="45">
      <x:c r="A45" s="27" t="str">
        <x:v>TOYOTA-2022-B-2025-11</x:v>
      </x:c>
      <x:c r="B45" s="27" t="str">
        <x:v>2022-B</x:v>
      </x:c>
      <x:c r="C45" s="27" t="str">
        <x:v>2025-11</x:v>
      </x:c>
      <x:c r="D45" s="27" t="str">
        <x:v>2025-11-30</x:v>
      </x:c>
      <x:c r="E45" s="27" t="str">
        <x:v>2025-11-01</x:v>
      </x:c>
      <x:c r="F45" s="27" t="str">
        <x:v>2025-11-30</x:v>
      </x:c>
      <x:c r="G45" s="28" t="n">
        <x:v>30</x:v>
      </x:c>
      <x:c r="H45" s="27" t="str">
        <x:v>2025-12-22</x:v>
      </x:c>
      <x:c r="I45" s="27" t="str">
        <x:v>0001193125-25-327910</x:v>
      </x:c>
      <x:c r="J45" s="27" t="str">
        <x:v>0001193125-25-327903</x:v>
      </x:c>
      <x:c r="K45" s="29" t="n">
        <x:v>237962.94</x:v>
      </x:c>
      <x:c r="L45" s="29" t="n">
        <x:v>-916.27</x:v>
      </x:c>
      <x:c r="M45" s="29" t="n">
        <x:v>-206701.67</x:v>
      </x:c>
      <x:c r="N45" s="29" t="n">
        <x:v>207617.94</x:v>
      </x:c>
      <x:c r="O45" s="29" t="n">
        <x:v>216274</x:v>
      </x:c>
      <x:c r="P45" s="29" t="n">
        <x:v>0</x:v>
      </x:c>
      <x:c r="Q45" s="29" t="n">
        <x:v>8656.06</x:v>
      </x:c>
      <x:c r="R45" s="29" t="n">
        <x:v>0</x:v>
      </x:c>
      <x:c r="S45" s="29" t="n">
        <x:v>0</x:v>
      </x:c>
      <x:c r="T45" s="27" t="str">
        <x:v>PASS</x:v>
      </x:c>
      <x:c r="U45" s="27" t="str">
        <x:v>PASS</x:v>
      </x:c>
      <x:c r="V45" s="29" t="n">
        <x:v>30345</x:v>
      </x:c>
      <x:c r="W45" s="27" t="str">
        <x:v>UNRESOLVED</x:v>
      </x:c>
      <x:c r="X45" s="27" t="str">
        <x:v>Residual retained; public certificate sources do not attribute this ABS-EE aggregate delta to a timing, population, correction, or classification component.</x:v>
      </x:c>
      <x:c r="Y45" s="27" t="str">
        <x:v>https://www.sec.gov/Archives/edgar/data/1914281/000119312525327903/d911394dex991.htm</x:v>
      </x:c>
      <x:c r="Z45" s="27" t="str">
        <x:v>a8cdc31fd16cd43e81408e0f97be1702ca974118349468d1b92424c8a6ba6f88</x:v>
      </x:c>
    </x:row>
    <x:row r="46">
      <x:c r="A46" s="27" t="str">
        <x:v>TOYOTA-2022-B-2025-12</x:v>
      </x:c>
      <x:c r="B46" s="27" t="str">
        <x:v>2022-B</x:v>
      </x:c>
      <x:c r="C46" s="27" t="str">
        <x:v>2025-12</x:v>
      </x:c>
      <x:c r="D46" s="27" t="str">
        <x:v>2025-12-31</x:v>
      </x:c>
      <x:c r="E46" s="27" t="str">
        <x:v>2025-12-01</x:v>
      </x:c>
      <x:c r="F46" s="27" t="str">
        <x:v>2025-12-31</x:v>
      </x:c>
      <x:c r="G46" s="28" t="n">
        <x:v>31</x:v>
      </x:c>
      <x:c r="H46" s="27" t="str">
        <x:v>2026-01-28</x:v>
      </x:c>
      <x:c r="I46" s="27" t="str">
        <x:v>0001193125-26-026444</x:v>
      </x:c>
      <x:c r="J46" s="27" t="str">
        <x:v>0001193125-26-026437</x:v>
      </x:c>
      <x:c r="K46" s="29" t="n">
        <x:v>207700.39</x:v>
      </x:c>
      <x:c r="L46" s="29" t="n">
        <x:v>-14488.81</x:v>
      </x:c>
      <x:c r="M46" s="29" t="n">
        <x:v>-162437.3</x:v>
      </x:c>
      <x:c r="N46" s="29" t="n">
        <x:v>176926.11</x:v>
      </x:c>
      <x:c r="O46" s="29" t="n">
        <x:v>180130.72</x:v>
      </x:c>
      <x:c r="P46" s="29" t="n">
        <x:v>0</x:v>
      </x:c>
      <x:c r="Q46" s="29" t="n">
        <x:v>3204.61</x:v>
      </x:c>
      <x:c r="R46" s="29" t="n">
        <x:v>0</x:v>
      </x:c>
      <x:c r="S46" s="29" t="n">
        <x:v>0</x:v>
      </x:c>
      <x:c r="T46" s="27" t="str">
        <x:v>PASS</x:v>
      </x:c>
      <x:c r="U46" s="27" t="str">
        <x:v>PASS</x:v>
      </x:c>
      <x:c r="V46" s="29" t="n">
        <x:v>30774.28</x:v>
      </x:c>
      <x:c r="W46" s="27" t="str">
        <x:v>UNRESOLVED</x:v>
      </x:c>
      <x:c r="X46" s="27" t="str">
        <x:v>Residual retained; public certificate sources do not attribute this ABS-EE aggregate delta to a timing, population, correction, or classification component.</x:v>
      </x:c>
      <x:c r="Y46" s="27" t="str">
        <x:v>https://www.sec.gov/Archives/edgar/data/1914281/000119312526026437/d47196dex991.htm</x:v>
      </x:c>
      <x:c r="Z46" s="27" t="str">
        <x:v>bf30c0ebc2b43f2cb02b4a4f927a3948d50e835dfab0d76ac8a85f6edd81b09d</x:v>
      </x:c>
    </x:row>
    <x:row r="47">
      <x:c r="A47" s="27" t="str">
        <x:v>TOYOTA-2022-B-2026-01</x:v>
      </x:c>
      <x:c r="B47" s="27" t="str">
        <x:v>2022-B</x:v>
      </x:c>
      <x:c r="C47" s="27" t="str">
        <x:v>2026-01</x:v>
      </x:c>
      <x:c r="D47" s="27" t="str">
        <x:v>2026-01-31</x:v>
      </x:c>
      <x:c r="E47" s="27" t="str">
        <x:v>2026-01-01</x:v>
      </x:c>
      <x:c r="F47" s="27" t="str">
        <x:v>2026-01-31</x:v>
      </x:c>
      <x:c r="G47" s="28" t="n">
        <x:v>31</x:v>
      </x:c>
      <x:c r="H47" s="27" t="str">
        <x:v>2026-02-25</x:v>
      </x:c>
      <x:c r="I47" s="27" t="str">
        <x:v>0001193125-26-069126</x:v>
      </x:c>
      <x:c r="J47" s="27" t="str">
        <x:v>0001193125-26-069115</x:v>
      </x:c>
      <x:c r="K47" s="29" t="n">
        <x:v>226670.02</x:v>
      </x:c>
      <x:c r="L47" s="29" t="n">
        <x:v>-25315.75</x:v>
      </x:c>
      <x:c r="M47" s="29" t="n">
        <x:v>-172366.89</x:v>
      </x:c>
      <x:c r="N47" s="29" t="n">
        <x:v>197682.64</x:v>
      </x:c>
      <x:c r="O47" s="29" t="n">
        <x:v>174074.55</x:v>
      </x:c>
      <x:c r="P47" s="29" t="n">
        <x:v>0</x:v>
      </x:c>
      <x:c r="Q47" s="29" t="n">
        <x:v>-23608.09</x:v>
      </x:c>
      <x:c r="R47" s="29" t="n">
        <x:v>0</x:v>
      </x:c>
      <x:c r="S47" s="29" t="n">
        <x:v>0</x:v>
      </x:c>
      <x:c r="T47" s="27" t="str">
        <x:v>PASS</x:v>
      </x:c>
      <x:c r="U47" s="27" t="str">
        <x:v>PASS</x:v>
      </x:c>
      <x:c r="V47" s="29" t="n">
        <x:v>28987.38</x:v>
      </x:c>
      <x:c r="W47" s="27" t="str">
        <x:v>UNRESOLVED</x:v>
      </x:c>
      <x:c r="X47" s="27" t="str">
        <x:v>Residual retained; public certificate sources do not attribute this ABS-EE aggregate delta to a timing, population, correction, or classification component.</x:v>
      </x:c>
      <x:c r="Y47" s="27" t="str">
        <x:v>https://www.sec.gov/Archives/edgar/data/1914281/000119312526069115/d917049dex991.htm</x:v>
      </x:c>
      <x:c r="Z47" s="27" t="str">
        <x:v>a85b4130078bd98f84c7ebfc566fefcbf9f82681aa7fbf537085c1397f0faf63</x:v>
      </x:c>
    </x:row>
    <x:row r="48">
      <x:c r="A48" s="27" t="str">
        <x:v>TOYOTA-2022-B-2026-02</x:v>
      </x:c>
      <x:c r="B48" s="27" t="str">
        <x:v>2022-B</x:v>
      </x:c>
      <x:c r="C48" s="27" t="str">
        <x:v>2026-02</x:v>
      </x:c>
      <x:c r="D48" s="27" t="str">
        <x:v>2026-02-28</x:v>
      </x:c>
      <x:c r="E48" s="27" t="str">
        <x:v>2026-02-01</x:v>
      </x:c>
      <x:c r="F48" s="27" t="str">
        <x:v>2026-02-28</x:v>
      </x:c>
      <x:c r="G48" s="28" t="n">
        <x:v>28</x:v>
      </x:c>
      <x:c r="H48" s="27" t="str">
        <x:v>2026-03-27</x:v>
      </x:c>
      <x:c r="I48" s="27" t="str">
        <x:v>0001193125-26-127862</x:v>
      </x:c>
      <x:c r="J48" s="27" t="str">
        <x:v>0001193125-26-127854</x:v>
      </x:c>
      <x:c r="K48" s="29" t="n">
        <x:v>188906.52</x:v>
      </x:c>
      <x:c r="L48" s="29" t="n">
        <x:v>7969.75</x:v>
      </x:c>
      <x:c r="M48" s="29" t="n">
        <x:v>-158545.43</x:v>
      </x:c>
      <x:c r="N48" s="29" t="n">
        <x:v>150575.68</x:v>
      </x:c>
      <x:c r="O48" s="29" t="n">
        <x:v>126781.46</x:v>
      </x:c>
      <x:c r="P48" s="29" t="n">
        <x:v>0</x:v>
      </x:c>
      <x:c r="Q48" s="29" t="n">
        <x:v>-23794.22</x:v>
      </x:c>
      <x:c r="R48" s="29" t="n">
        <x:v>0</x:v>
      </x:c>
      <x:c r="S48" s="29" t="n">
        <x:v>0</x:v>
      </x:c>
      <x:c r="T48" s="27" t="str">
        <x:v>PASS</x:v>
      </x:c>
      <x:c r="U48" s="27" t="str">
        <x:v>PASS</x:v>
      </x:c>
      <x:c r="V48" s="29" t="n">
        <x:v>38330.84</x:v>
      </x:c>
      <x:c r="W48" s="27" t="str">
        <x:v>UNRESOLVED</x:v>
      </x:c>
      <x:c r="X48" s="27" t="str">
        <x:v>Residual retained; public certificate sources do not attribute this ABS-EE aggregate delta to a timing, population, correction, or classification component.</x:v>
      </x:c>
      <x:c r="Y48" s="27" t="str">
        <x:v>https://www.sec.gov/Archives/edgar/data/1914281/000119312526127854/d43447dex991.htm</x:v>
      </x:c>
      <x:c r="Z48" s="27" t="str">
        <x:v>07facb8fc7b9a58f3f14bec28efbafeb9b3bde25351ac8d254e95aee2a716067</x:v>
      </x:c>
    </x:row>
    <x:row r="49">
      <x:c r="A49" s="27" t="str">
        <x:v>TOYOTA-2022-B-2026-03</x:v>
      </x:c>
      <x:c r="B49" s="27" t="str">
        <x:v>2022-B</x:v>
      </x:c>
      <x:c r="C49" s="27" t="str">
        <x:v>2026-03</x:v>
      </x:c>
      <x:c r="D49" s="27" t="str">
        <x:v>2026-03-31</x:v>
      </x:c>
      <x:c r="E49" s="27" t="str">
        <x:v>2026-03-01</x:v>
      </x:c>
      <x:c r="F49" s="27" t="str">
        <x:v>2026-03-31</x:v>
      </x:c>
      <x:c r="G49" s="28" t="n">
        <x:v>31</x:v>
      </x:c>
      <x:c r="H49" s="27" t="str">
        <x:v>2026-04-28</x:v>
      </x:c>
      <x:c r="I49" s="27" t="str">
        <x:v>0001193125-26-184550</x:v>
      </x:c>
      <x:c r="J49" s="27" t="str">
        <x:v>0001193125-26-184543</x:v>
      </x:c>
      <x:c r="K49" s="29" t="n">
        <x:v>261561.7</x:v>
      </x:c>
      <x:c r="L49" s="29" t="n">
        <x:v>8586.67</x:v>
      </x:c>
      <x:c r="M49" s="29" t="n">
        <x:v>-237978.55</x:v>
      </x:c>
      <x:c r="N49" s="29" t="n">
        <x:v>229391.88</x:v>
      </x:c>
      <x:c r="O49" s="29" t="n">
        <x:v>132875.45</x:v>
      </x:c>
      <x:c r="P49" s="29" t="n">
        <x:v>0</x:v>
      </x:c>
      <x:c r="Q49" s="29" t="n">
        <x:v>-96516.43</x:v>
      </x:c>
      <x:c r="R49" s="29" t="n">
        <x:v>0</x:v>
      </x:c>
      <x:c r="S49" s="29" t="n">
        <x:v>0</x:v>
      </x:c>
      <x:c r="T49" s="27" t="str">
        <x:v>PASS</x:v>
      </x:c>
      <x:c r="U49" s="27" t="str">
        <x:v>PASS</x:v>
      </x:c>
      <x:c r="V49" s="29" t="n">
        <x:v>32169.82</x:v>
      </x:c>
      <x:c r="W49" s="27" t="str">
        <x:v>UNRESOLVED</x:v>
      </x:c>
      <x:c r="X49" s="27" t="str">
        <x:v>Residual retained; public certificate sources do not attribute this ABS-EE aggregate delta to a timing, population, correction, or classification component.</x:v>
      </x:c>
      <x:c r="Y49" s="27" t="str">
        <x:v>https://www.sec.gov/Archives/edgar/data/1914281/000119312526184543/d141578dex991.htm</x:v>
      </x:c>
      <x:c r="Z49" s="27" t="str">
        <x:v>6dfbdd7635d633652212ea19a9e6c74f51c92c54a0672c9b8ab6d958e0c90bc6</x:v>
      </x:c>
    </x:row>
    <x:row r="50">
      <x:c r="A50" s="27" t="str">
        <x:v>TOYOTA-2022-B-2026-04</x:v>
      </x:c>
      <x:c r="B50" s="27" t="str">
        <x:v>2022-B</x:v>
      </x:c>
      <x:c r="C50" s="27" t="str">
        <x:v>2026-04</x:v>
      </x:c>
      <x:c r="D50" s="27" t="str">
        <x:v>2026-04-30</x:v>
      </x:c>
      <x:c r="E50" s="27" t="str">
        <x:v>2026-04-01</x:v>
      </x:c>
      <x:c r="F50" s="27" t="str">
        <x:v>2026-04-30</x:v>
      </x:c>
      <x:c r="G50" s="28" t="n">
        <x:v>30</x:v>
      </x:c>
      <x:c r="H50" s="27" t="str">
        <x:v>2026-05-27</x:v>
      </x:c>
      <x:c r="I50" s="27" t="str">
        <x:v>0001193125-26-240773</x:v>
      </x:c>
      <x:c r="J50" s="27" t="str">
        <x:v>0001193125-26-240769</x:v>
      </x:c>
      <x:c r="K50" s="29" t="n">
        <x:v>198922.82</x:v>
      </x:c>
      <x:c r="L50" s="29" t="n">
        <x:v>-24346.89</x:v>
      </x:c>
      <x:c r="M50" s="29" t="n">
        <x:v>-154899.63</x:v>
      </x:c>
      <x:c r="N50" s="29" t="n">
        <x:v>179246.52</x:v>
      </x:c>
      <x:c r="O50" s="29" t="n">
        <x:v>191479.83</x:v>
      </x:c>
      <x:c r="P50" s="29" t="n">
        <x:v>0</x:v>
      </x:c>
      <x:c r="Q50" s="29" t="n">
        <x:v>12233.31</x:v>
      </x:c>
      <x:c r="R50" s="29" t="n">
        <x:v>0</x:v>
      </x:c>
      <x:c r="S50" s="29" t="n">
        <x:v>0</x:v>
      </x:c>
      <x:c r="T50" s="27" t="str">
        <x:v>PASS</x:v>
      </x:c>
      <x:c r="U50" s="27" t="str">
        <x:v>PASS</x:v>
      </x:c>
      <x:c r="V50" s="29" t="n">
        <x:v>19676.3</x:v>
      </x:c>
      <x:c r="W50" s="27" t="str">
        <x:v>UNRESOLVED</x:v>
      </x:c>
      <x:c r="X50" s="27" t="str">
        <x:v>Residual retained; public certificate sources do not attribute this ABS-EE aggregate delta to a timing, population, correction, or classification component.</x:v>
      </x:c>
      <x:c r="Y50" s="27" t="str">
        <x:v>https://www.sec.gov/Archives/edgar/data/1914281/000119312526240769/d135286dex991.htm</x:v>
      </x:c>
      <x:c r="Z50" s="27" t="str">
        <x:v>8e5177b0984df0fba1d482526856845cbbd46cc654e53745b20b6aae1d58c636</x:v>
      </x:c>
    </x:row>
    <x:row r="51">
      <x:c r="A51" s="27" t="str">
        <x:v>TOYOTA-2022-B-2026-05</x:v>
      </x:c>
      <x:c r="B51" s="27" t="str">
        <x:v>2022-B</x:v>
      </x:c>
      <x:c r="C51" s="27" t="str">
        <x:v>2026-05</x:v>
      </x:c>
      <x:c r="D51" s="27" t="str">
        <x:v>2026-05-31</x:v>
      </x:c>
      <x:c r="E51" s="27" t="str">
        <x:v>2026-05-01</x:v>
      </x:c>
      <x:c r="F51" s="27" t="str">
        <x:v>2026-05-31</x:v>
      </x:c>
      <x:c r="G51" s="28" t="n">
        <x:v>31</x:v>
      </x:c>
      <x:c r="H51" s="27" t="str">
        <x:v>2026-06-26</x:v>
      </x:c>
      <x:c r="I51" s="27" t="str">
        <x:v>0001193125-26-284181</x:v>
      </x:c>
      <x:c r="J51" s="27" t="str">
        <x:v>0001193125-26-284175</x:v>
      </x:c>
      <x:c r="K51" s="29" t="n">
        <x:v>163897.05</x:v>
      </x:c>
      <x:c r="L51" s="29" t="n">
        <x:v>-1663.4</x:v>
      </x:c>
      <x:c r="M51" s="29" t="n">
        <x:v>-144760.91</x:v>
      </x:c>
      <x:c r="N51" s="29" t="n">
        <x:v>146424.31</x:v>
      </x:c>
      <x:c r="O51" s="29" t="n">
        <x:v>65184.91</x:v>
      </x:c>
      <x:c r="P51" s="29" t="n">
        <x:v>0</x:v>
      </x:c>
      <x:c r="Q51" s="29" t="n">
        <x:v>-81239.4</x:v>
      </x:c>
      <x:c r="R51" s="29" t="n">
        <x:v>0</x:v>
      </x:c>
      <x:c r="S51" s="29" t="n">
        <x:v>0</x:v>
      </x:c>
      <x:c r="T51" s="27" t="str">
        <x:v>PASS</x:v>
      </x:c>
      <x:c r="U51" s="27" t="str">
        <x:v>PASS</x:v>
      </x:c>
      <x:c r="V51" s="29" t="n">
        <x:v>17472.74</x:v>
      </x:c>
      <x:c r="W51" s="27" t="str">
        <x:v>UNRESOLVED</x:v>
      </x:c>
      <x:c r="X51" s="27" t="str">
        <x:v>Residual retained; public certificate sources do not attribute this ABS-EE aggregate delta to a timing, population, correction, or classification component.</x:v>
      </x:c>
      <x:c r="Y51" s="27" t="str">
        <x:v>https://www.sec.gov/Archives/edgar/data/1914281/000119312526284175/d948146dex991.htm</x:v>
      </x:c>
      <x:c r="Z51" s="27" t="str">
        <x:v>d24bf50a63562588ca12c13d36426d13d772588f7f420479fb1a5617d890009c</x:v>
      </x:c>
    </x:row>
    <x:row r="52">
      <x:c r="A52" s="27" t="str">
        <x:v>TOYOTA-2022-B-2026-06</x:v>
      </x:c>
      <x:c r="B52" s="27" t="str">
        <x:v>2022-B</x:v>
      </x:c>
      <x:c r="C52" s="27" t="str">
        <x:v>2026-06</x:v>
      </x:c>
      <x:c r="D52" s="27" t="str">
        <x:v>2026-06-30</x:v>
      </x:c>
      <x:c r="E52" s="27" t="str">
        <x:v>2026-06-01</x:v>
      </x:c>
      <x:c r="F52" s="27" t="str">
        <x:v>2026-06-30</x:v>
      </x:c>
      <x:c r="G52" s="28" t="n">
        <x:v>30</x:v>
      </x:c>
      <x:c r="H52" s="27" t="str">
        <x:v>2026-07-29</x:v>
      </x:c>
      <x:c r="I52" s="27" t="str">
        <x:v>0001193125-26-322411</x:v>
      </x:c>
      <x:c r="J52" s="27" t="str">
        <x:v>0001193125-26-322407</x:v>
      </x:c>
      <x:c r="K52" s="29" t="n">
        <x:v>216238.24</x:v>
      </x:c>
      <x:c r="L52" s="29" t="n">
        <x:v>4373.88</x:v>
      </x:c>
      <x:c r="M52" s="29" t="n">
        <x:v>-186910.38</x:v>
      </x:c>
      <x:c r="N52" s="29" t="n">
        <x:v>182536.5</x:v>
      </x:c>
      <x:c r="O52" s="29" t="n">
        <x:v>139766.31</x:v>
      </x:c>
      <x:c r="P52" s="29" t="n">
        <x:v>0</x:v>
      </x:c>
      <x:c r="Q52" s="29" t="n">
        <x:v>-42770.19</x:v>
      </x:c>
      <x:c r="R52" s="29" t="n">
        <x:v>0</x:v>
      </x:c>
      <x:c r="S52" s="29" t="n">
        <x:v>0</x:v>
      </x:c>
      <x:c r="T52" s="27" t="str">
        <x:v>PASS</x:v>
      </x:c>
      <x:c r="U52" s="27" t="str">
        <x:v>PASS</x:v>
      </x:c>
      <x:c r="V52" s="29" t="n">
        <x:v>33701.74</x:v>
      </x:c>
      <x:c r="W52" s="27" t="str">
        <x:v>UNRESOLVED</x:v>
      </x:c>
      <x:c r="X52" s="27" t="str">
        <x:v>Residual retained; public certificate sources do not attribute this ABS-EE aggregate delta to a timing, population, correction, or classification component.</x:v>
      </x:c>
      <x:c r="Y52" s="27" t="str">
        <x:v>https://www.sec.gov/Archives/edgar/data/1914281/000119312526322407/d70261dex991.htm</x:v>
      </x:c>
      <x:c r="Z52" s="27" t="str">
        <x:v>fb068eccc458969ea96a03ebe88e0ae7ba5a868a6431eceedf00b4ab4746474f</x:v>
      </x:c>
    </x:row>
    <x:row r="53">
      <x:c r="A53" s="27" t="str">
        <x:v>TOYOTA-2024-B-2024-04</x:v>
      </x:c>
      <x:c r="B53" s="27" t="str">
        <x:v>2024-B</x:v>
      </x:c>
      <x:c r="C53" s="27" t="str">
        <x:v>2024-04</x:v>
      </x:c>
      <x:c r="D53" s="27" t="str">
        <x:v>2024-04-30</x:v>
      </x:c>
      <x:c r="E53" s="27" t="str">
        <x:v>2024-03-01</x:v>
      </x:c>
      <x:c r="F53" s="27" t="str">
        <x:v>2024-04-30</x:v>
      </x:c>
      <x:c r="G53" s="28" t="n">
        <x:v>61</x:v>
      </x:c>
      <x:c r="H53" s="27" t="str">
        <x:v>2024-05-29</x:v>
      </x:c>
      <x:c r="I53" s="27" t="str">
        <x:v>0000950131-24-002192</x:v>
      </x:c>
      <x:c r="J53" s="27" t="str">
        <x:v>0000950131-24-002190</x:v>
      </x:c>
      <x:c r="K53" s="29" t="n">
        <x:v>0</x:v>
      </x:c>
      <x:c r="L53" s="29" t="n">
        <x:v>0</x:v>
      </x:c>
      <x:c r="M53" s="29" t="n">
        <x:v>0</x:v>
      </x:c>
      <x:c r="N53" s="29" t="n">
        <x:v>0</x:v>
      </x:c>
      <x:c r="O53" s="29" t="n">
        <x:v>0</x:v>
      </x:c>
      <x:c r="P53" s="29" t="n">
        <x:v>0</x:v>
      </x:c>
      <x:c r="Q53" s="29" t="n">
        <x:v>0</x:v>
      </x:c>
      <x:c r="R53" s="29" t="n">
        <x:v>0</x:v>
      </x:c>
      <x:c r="S53" s="29" t="n">
        <x:v>0</x:v>
      </x:c>
      <x:c r="T53" s="27" t="str">
        <x:v>PASS</x:v>
      </x:c>
      <x:c r="U53" s="27" t="str">
        <x:v>PASS</x:v>
      </x:c>
      <x:c r="V53" s="29" t="n">
        <x:v>0</x:v>
      </x:c>
      <x:c r="W53" s="27" t="str">
        <x:v>TIED</x:v>
      </x:c>
      <x:c r="X53" s="27" t="str">
        <x:v>Residual retained; public certificate sources do not attribute this ABS-EE aggregate delta to a timing, population, correction, or classification component.</x:v>
      </x:c>
      <x:c r="Y53" s="27" t="str">
        <x:v>https://www.sec.gov/Archives/edgar/data/2012786/000095013124002190/d824511dex991.htm</x:v>
      </x:c>
      <x:c r="Z53" s="27" t="str">
        <x:v>b89ef458c59fe36d18536d8fce1e88f88d9d528caf80b978d462827ce0db3ede</x:v>
      </x:c>
    </x:row>
    <x:row r="54">
      <x:c r="A54" s="27" t="str">
        <x:v>TOYOTA-2024-B-2024-05</x:v>
      </x:c>
      <x:c r="B54" s="27" t="str">
        <x:v>2024-B</x:v>
      </x:c>
      <x:c r="C54" s="27" t="str">
        <x:v>2024-05</x:v>
      </x:c>
      <x:c r="D54" s="27" t="str">
        <x:v>2024-05-31</x:v>
      </x:c>
      <x:c r="E54" s="27" t="str">
        <x:v>2024-05-01</x:v>
      </x:c>
      <x:c r="F54" s="27" t="str">
        <x:v>2024-05-31</x:v>
      </x:c>
      <x:c r="G54" s="28" t="n">
        <x:v>31</x:v>
      </x:c>
      <x:c r="H54" s="27" t="str">
        <x:v>2024-06-26</x:v>
      </x:c>
      <x:c r="I54" s="27" t="str">
        <x:v>0000950131-24-002709</x:v>
      </x:c>
      <x:c r="J54" s="27" t="str">
        <x:v>0000950131-24-002707</x:v>
      </x:c>
      <x:c r="K54" s="29" t="n">
        <x:v>42719.76</x:v>
      </x:c>
      <x:c r="L54" s="29" t="n">
        <x:v>-17111.28</x:v>
      </x:c>
      <x:c r="M54" s="29" t="n">
        <x:v>0</x:v>
      </x:c>
      <x:c r="N54" s="29" t="n">
        <x:v>17111.28</x:v>
      </x:c>
      <x:c r="O54" s="29" t="n">
        <x:v>130181.23</x:v>
      </x:c>
      <x:c r="P54" s="29" t="n">
        <x:v>0</x:v>
      </x:c>
      <x:c r="Q54" s="29" t="n">
        <x:v>113069.95</x:v>
      </x:c>
      <x:c r="R54" s="29" t="n">
        <x:v>0</x:v>
      </x:c>
      <x:c r="S54" s="29" t="n">
        <x:v>0</x:v>
      </x:c>
      <x:c r="T54" s="27" t="str">
        <x:v>PASS</x:v>
      </x:c>
      <x:c r="U54" s="27" t="str">
        <x:v>PASS</x:v>
      </x:c>
      <x:c r="V54" s="29" t="n">
        <x:v>25608.48</x:v>
      </x:c>
      <x:c r="W54" s="27" t="str">
        <x:v>UNRESOLVED</x:v>
      </x:c>
      <x:c r="X54" s="27" t="str">
        <x:v>Residual retained; public certificate sources do not attribute this ABS-EE aggregate delta to a timing, population, correction, or classification component.</x:v>
      </x:c>
      <x:c r="Y54" s="27" t="str">
        <x:v>https://www.sec.gov/Archives/edgar/data/2012786/000095013124002707/d844185dex991.htm</x:v>
      </x:c>
      <x:c r="Z54" s="27" t="str">
        <x:v>eb2e9c50b1d86eb6515fec3ed4e5b2b21c0db1e8543ca8e5218fcb66c0f7d6c8</x:v>
      </x:c>
    </x:row>
    <x:row r="55">
      <x:c r="A55" s="27" t="str">
        <x:v>TOYOTA-2024-B-2024-06</x:v>
      </x:c>
      <x:c r="B55" s="27" t="str">
        <x:v>2024-B</x:v>
      </x:c>
      <x:c r="C55" s="27" t="str">
        <x:v>2024-06</x:v>
      </x:c>
      <x:c r="D55" s="27" t="str">
        <x:v>2024-06-30</x:v>
      </x:c>
      <x:c r="E55" s="27" t="str">
        <x:v>2024-06-01</x:v>
      </x:c>
      <x:c r="F55" s="27" t="str">
        <x:v>2024-06-30</x:v>
      </x:c>
      <x:c r="G55" s="28" t="n">
        <x:v>30</x:v>
      </x:c>
      <x:c r="H55" s="27" t="str">
        <x:v>2024-07-29</x:v>
      </x:c>
      <x:c r="I55" s="27" t="str">
        <x:v>0000950131-24-003120</x:v>
      </x:c>
      <x:c r="J55" s="27" t="str">
        <x:v>0000950131-24-003118</x:v>
      </x:c>
      <x:c r="K55" s="29" t="n">
        <x:v>163100.64</x:v>
      </x:c>
      <x:c r="L55" s="29" t="n">
        <x:v>-144283.51</x:v>
      </x:c>
      <x:c r="M55" s="29" t="n">
        <x:v>-7286.81</x:v>
      </x:c>
      <x:c r="N55" s="29" t="n">
        <x:v>151570.32</x:v>
      </x:c>
      <x:c r="O55" s="29" t="n">
        <x:v>932441</x:v>
      </x:c>
      <x:c r="P55" s="29" t="n">
        <x:v>-18023.31</x:v>
      </x:c>
      <x:c r="Q55" s="29" t="n">
        <x:v>762847.37</x:v>
      </x:c>
      <x:c r="R55" s="29" t="n">
        <x:v>0</x:v>
      </x:c>
      <x:c r="S55" s="29" t="n">
        <x:v>0</x:v>
      </x:c>
      <x:c r="T55" s="27" t="str">
        <x:v>PASS</x:v>
      </x:c>
      <x:c r="U55" s="27" t="str">
        <x:v>PASS</x:v>
      </x:c>
      <x:c r="V55" s="29" t="n">
        <x:v>11530.32</x:v>
      </x:c>
      <x:c r="W55" s="27" t="str">
        <x:v>UNRESOLVED</x:v>
      </x:c>
      <x:c r="X55" s="27" t="str">
        <x:v>Residual retained; public certificate sources do not attribute this ABS-EE aggregate delta to a timing, population, correction, or classification component.</x:v>
      </x:c>
      <x:c r="Y55" s="27" t="str">
        <x:v>https://www.sec.gov/Archives/edgar/data/2012786/000095013124003118/d862403dex991.htm</x:v>
      </x:c>
      <x:c r="Z55" s="27" t="str">
        <x:v>0bab3925def48fa1231c3a4cf8f55fd30b2abcbcb2891f9ef696a67fec660147</x:v>
      </x:c>
    </x:row>
    <x:row r="56">
      <x:c r="A56" s="27" t="str">
        <x:v>TOYOTA-2024-B-2024-07</x:v>
      </x:c>
      <x:c r="B56" s="27" t="str">
        <x:v>2024-B</x:v>
      </x:c>
      <x:c r="C56" s="27" t="str">
        <x:v>2024-07</x:v>
      </x:c>
      <x:c r="D56" s="27" t="str">
        <x:v>2024-07-31</x:v>
      </x:c>
      <x:c r="E56" s="27" t="str">
        <x:v>2024-07-01</x:v>
      </x:c>
      <x:c r="F56" s="27" t="str">
        <x:v>2024-07-31</x:v>
      </x:c>
      <x:c r="G56" s="28" t="n">
        <x:v>31</x:v>
      </x:c>
      <x:c r="H56" s="27" t="str">
        <x:v>2024-08-28</x:v>
      </x:c>
      <x:c r="I56" s="27" t="str">
        <x:v>0000950131-24-003567</x:v>
      </x:c>
      <x:c r="J56" s="27" t="str">
        <x:v>0000950131-24-003564</x:v>
      </x:c>
      <x:c r="K56" s="29" t="n">
        <x:v>270423.02</x:v>
      </x:c>
      <x:c r="L56" s="29" t="n">
        <x:v>-162032.99</x:v>
      </x:c>
      <x:c r="M56" s="29" t="n">
        <x:v>-91770.63</x:v>
      </x:c>
      <x:c r="N56" s="29" t="n">
        <x:v>253803.62</x:v>
      </x:c>
      <x:c r="O56" s="29" t="n">
        <x:v>905759.99</x:v>
      </x:c>
      <x:c r="P56" s="29" t="n">
        <x:v>0</x:v>
      </x:c>
      <x:c r="Q56" s="29" t="n">
        <x:v>651956.37</x:v>
      </x:c>
      <x:c r="R56" s="29" t="n">
        <x:v>0</x:v>
      </x:c>
      <x:c r="S56" s="29" t="n">
        <x:v>0</x:v>
      </x:c>
      <x:c r="T56" s="27" t="str">
        <x:v>PASS</x:v>
      </x:c>
      <x:c r="U56" s="27" t="str">
        <x:v>PASS</x:v>
      </x:c>
      <x:c r="V56" s="29" t="n">
        <x:v>16619.4</x:v>
      </x:c>
      <x:c r="W56" s="27" t="str">
        <x:v>UNRESOLVED</x:v>
      </x:c>
      <x:c r="X56" s="27" t="str">
        <x:v>Residual retained; public certificate sources do not attribute this ABS-EE aggregate delta to a timing, population, correction, or classification component.</x:v>
      </x:c>
      <x:c r="Y56" s="27" t="str">
        <x:v>https://www.sec.gov/Archives/edgar/data/2012786/000095013124003564/d878689dex991.htm</x:v>
      </x:c>
      <x:c r="Z56" s="27" t="str">
        <x:v>f4bd5f7b9df3f9b38816dc08bfcbe4551bf0f02fcb40b6987e8daa0cd6213aac</x:v>
      </x:c>
    </x:row>
    <x:row r="57">
      <x:c r="A57" s="27" t="str">
        <x:v>TOYOTA-2024-B-2024-08</x:v>
      </x:c>
      <x:c r="B57" s="27" t="str">
        <x:v>2024-B</x:v>
      </x:c>
      <x:c r="C57" s="27" t="str">
        <x:v>2024-08</x:v>
      </x:c>
      <x:c r="D57" s="27" t="str">
        <x:v>2024-08-31</x:v>
      </x:c>
      <x:c r="E57" s="27" t="str">
        <x:v>2024-08-01</x:v>
      </x:c>
      <x:c r="F57" s="27" t="str">
        <x:v>2024-08-31</x:v>
      </x:c>
      <x:c r="G57" s="28" t="n">
        <x:v>31</x:v>
      </x:c>
      <x:c r="H57" s="27" t="str">
        <x:v>2024-09-26</x:v>
      </x:c>
      <x:c r="I57" s="27" t="str">
        <x:v>0000950131-24-003954</x:v>
      </x:c>
      <x:c r="J57" s="27" t="str">
        <x:v>0000950131-24-003950</x:v>
      </x:c>
      <x:c r="K57" s="29" t="n">
        <x:v>260590.3</x:v>
      </x:c>
      <x:c r="L57" s="29" t="n">
        <x:v>-56462.16</x:v>
      </x:c>
      <x:c r="M57" s="29" t="n">
        <x:v>-123446.96</x:v>
      </x:c>
      <x:c r="N57" s="29" t="n">
        <x:v>179909.12</x:v>
      </x:c>
      <x:c r="O57" s="29" t="n">
        <x:v>973539.25</x:v>
      </x:c>
      <x:c r="P57" s="29" t="n">
        <x:v>-27047.16</x:v>
      </x:c>
      <x:c r="Q57" s="29" t="n">
        <x:v>766582.97</x:v>
      </x:c>
      <x:c r="R57" s="29" t="n">
        <x:v>0</x:v>
      </x:c>
      <x:c r="S57" s="29" t="n">
        <x:v>0</x:v>
      </x:c>
      <x:c r="T57" s="27" t="str">
        <x:v>PASS</x:v>
      </x:c>
      <x:c r="U57" s="27" t="str">
        <x:v>PASS</x:v>
      </x:c>
      <x:c r="V57" s="29" t="n">
        <x:v>80681.18</x:v>
      </x:c>
      <x:c r="W57" s="27" t="str">
        <x:v>UNRESOLVED</x:v>
      </x:c>
      <x:c r="X57" s="27" t="str">
        <x:v>Residual retained; public certificate sources do not attribute this ABS-EE aggregate delta to a timing, population, correction, or classification component.</x:v>
      </x:c>
      <x:c r="Y57" s="27" t="str">
        <x:v>https://www.sec.gov/Archives/edgar/data/2012786/000095013124003950/d857138dex991.htm</x:v>
      </x:c>
      <x:c r="Z57" s="27" t="str">
        <x:v>7c4ae7a3aad47d738b9443a7bcfe06fe2921d1dcae1903dbff2b4939de5a5c10</x:v>
      </x:c>
    </x:row>
    <x:row r="58">
      <x:c r="A58" s="27" t="str">
        <x:v>TOYOTA-2024-B-2024-09</x:v>
      </x:c>
      <x:c r="B58" s="27" t="str">
        <x:v>2024-B</x:v>
      </x:c>
      <x:c r="C58" s="27" t="str">
        <x:v>2024-09</x:v>
      </x:c>
      <x:c r="D58" s="27" t="str">
        <x:v>2024-09-30</x:v>
      </x:c>
      <x:c r="E58" s="27" t="str">
        <x:v>2024-09-01</x:v>
      </x:c>
      <x:c r="F58" s="27" t="str">
        <x:v>2024-09-30</x:v>
      </x:c>
      <x:c r="G58" s="28" t="n">
        <x:v>30</x:v>
      </x:c>
      <x:c r="H58" s="27" t="str">
        <x:v>2024-10-29</x:v>
      </x:c>
      <x:c r="I58" s="27" t="str">
        <x:v>0000950131-24-004381</x:v>
      </x:c>
      <x:c r="J58" s="27" t="str">
        <x:v>0000950131-24-004376</x:v>
      </x:c>
      <x:c r="K58" s="29" t="n">
        <x:v>416807.4</x:v>
      </x:c>
      <x:c r="L58" s="29" t="n">
        <x:v>-42195.93</x:v>
      </x:c>
      <x:c r="M58" s="29" t="n">
        <x:v>-319492.09</x:v>
      </x:c>
      <x:c r="N58" s="29" t="n">
        <x:v>361688.02</x:v>
      </x:c>
      <x:c r="O58" s="29" t="n">
        <x:v>784451.68</x:v>
      </x:c>
      <x:c r="P58" s="29" t="n">
        <x:v>-26797.07</x:v>
      </x:c>
      <x:c r="Q58" s="29" t="n">
        <x:v>395966.59</x:v>
      </x:c>
      <x:c r="R58" s="29" t="n">
        <x:v>0</x:v>
      </x:c>
      <x:c r="S58" s="29" t="n">
        <x:v>0</x:v>
      </x:c>
      <x:c r="T58" s="27" t="str">
        <x:v>PASS</x:v>
      </x:c>
      <x:c r="U58" s="27" t="str">
        <x:v>PASS</x:v>
      </x:c>
      <x:c r="V58" s="29" t="n">
        <x:v>55119.38</x:v>
      </x:c>
      <x:c r="W58" s="27" t="str">
        <x:v>UNRESOLVED</x:v>
      </x:c>
      <x:c r="X58" s="27" t="str">
        <x:v>Residual retained; public certificate sources do not attribute this ABS-EE aggregate delta to a timing, population, correction, or classification component.</x:v>
      </x:c>
      <x:c r="Y58" s="27" t="str">
        <x:v>https://www.sec.gov/Archives/edgar/data/2012786/000095013124004376/d843466dex991.htm</x:v>
      </x:c>
      <x:c r="Z58" s="27" t="str">
        <x:v>da3d7cbb77a012f630697f3410458f6836a2398b6f370728b84bcea8e3130878</x:v>
      </x:c>
    </x:row>
    <x:row r="59">
      <x:c r="A59" s="27" t="str">
        <x:v>TOYOTA-2024-B-2024-10</x:v>
      </x:c>
      <x:c r="B59" s="27" t="str">
        <x:v>2024-B</x:v>
      </x:c>
      <x:c r="C59" s="27" t="str">
        <x:v>2024-10</x:v>
      </x:c>
      <x:c r="D59" s="27" t="str">
        <x:v>2024-10-31</x:v>
      </x:c>
      <x:c r="E59" s="27" t="str">
        <x:v>2024-10-01</x:v>
      </x:c>
      <x:c r="F59" s="27" t="str">
        <x:v>2024-10-31</x:v>
      </x:c>
      <x:c r="G59" s="28" t="n">
        <x:v>31</x:v>
      </x:c>
      <x:c r="H59" s="27" t="str">
        <x:v>2024-11-26</x:v>
      </x:c>
      <x:c r="I59" s="27" t="str">
        <x:v>0000950131-24-004781</x:v>
      </x:c>
      <x:c r="J59" s="27" t="str">
        <x:v>0000950131-24-004777</x:v>
      </x:c>
      <x:c r="K59" s="29" t="n">
        <x:v>928039.68</x:v>
      </x:c>
      <x:c r="L59" s="29" t="n">
        <x:v>-214639.84</x:v>
      </x:c>
      <x:c r="M59" s="29" t="n">
        <x:v>-677715.3</x:v>
      </x:c>
      <x:c r="N59" s="29" t="n">
        <x:v>892355.14</x:v>
      </x:c>
      <x:c r="O59" s="29" t="n">
        <x:v>938456.83</x:v>
      </x:c>
      <x:c r="P59" s="29" t="n">
        <x:v>0</x:v>
      </x:c>
      <x:c r="Q59" s="29" t="n">
        <x:v>46101.69</x:v>
      </x:c>
      <x:c r="R59" s="29" t="n">
        <x:v>0</x:v>
      </x:c>
      <x:c r="S59" s="29" t="n">
        <x:v>0</x:v>
      </x:c>
      <x:c r="T59" s="27" t="str">
        <x:v>PASS</x:v>
      </x:c>
      <x:c r="U59" s="27" t="str">
        <x:v>PASS</x:v>
      </x:c>
      <x:c r="V59" s="29" t="n">
        <x:v>35684.54</x:v>
      </x:c>
      <x:c r="W59" s="27" t="str">
        <x:v>UNRESOLVED</x:v>
      </x:c>
      <x:c r="X59" s="27" t="str">
        <x:v>Residual retained; public certificate sources do not attribute this ABS-EE aggregate delta to a timing, population, correction, or classification component.</x:v>
      </x:c>
      <x:c r="Y59" s="27" t="str">
        <x:v>https://www.sec.gov/Archives/edgar/data/2012786/000095013124004777/d896288dex991.htm</x:v>
      </x:c>
      <x:c r="Z59" s="27" t="str">
        <x:v>d3bc16273f3ffbafc9e2285a2721be67ae87e6f3bfb7ffb5c86f05ea3586e6c6</x:v>
      </x:c>
    </x:row>
    <x:row r="60">
      <x:c r="A60" s="27" t="str">
        <x:v>TOYOTA-2024-B-2024-11</x:v>
      </x:c>
      <x:c r="B60" s="27" t="str">
        <x:v>2024-B</x:v>
      </x:c>
      <x:c r="C60" s="27" t="str">
        <x:v>2024-11</x:v>
      </x:c>
      <x:c r="D60" s="27" t="str">
        <x:v>2024-11-30</x:v>
      </x:c>
      <x:c r="E60" s="27" t="str">
        <x:v>2024-11-01</x:v>
      </x:c>
      <x:c r="F60" s="27" t="str">
        <x:v>2024-11-30</x:v>
      </x:c>
      <x:c r="G60" s="28" t="n">
        <x:v>30</x:v>
      </x:c>
      <x:c r="H60" s="27" t="str">
        <x:v>2024-12-20</x:v>
      </x:c>
      <x:c r="I60" s="27" t="str">
        <x:v>0000950131-24-005156</x:v>
      </x:c>
      <x:c r="J60" s="27" t="str">
        <x:v>0000950131-24-005152</x:v>
      </x:c>
      <x:c r="K60" s="29" t="n">
        <x:v>608634.54</x:v>
      </x:c>
      <x:c r="L60" s="29" t="n">
        <x:v>-110977.35</x:v>
      </x:c>
      <x:c r="M60" s="29" t="n">
        <x:v>-389574.15</x:v>
      </x:c>
      <x:c r="N60" s="29" t="n">
        <x:v>500551.5</x:v>
      </x:c>
      <x:c r="O60" s="29" t="n">
        <x:v>966985.38</x:v>
      </x:c>
      <x:c r="P60" s="29" t="n">
        <x:v>0</x:v>
      </x:c>
      <x:c r="Q60" s="29" t="n">
        <x:v>466433.88</x:v>
      </x:c>
      <x:c r="R60" s="29" t="n">
        <x:v>0</x:v>
      </x:c>
      <x:c r="S60" s="29" t="n">
        <x:v>0</x:v>
      </x:c>
      <x:c r="T60" s="27" t="str">
        <x:v>PASS</x:v>
      </x:c>
      <x:c r="U60" s="27" t="str">
        <x:v>PASS</x:v>
      </x:c>
      <x:c r="V60" s="29" t="n">
        <x:v>108083.04</x:v>
      </x:c>
      <x:c r="W60" s="27" t="str">
        <x:v>UNRESOLVED</x:v>
      </x:c>
      <x:c r="X60" s="27" t="str">
        <x:v>Residual retained; public certificate sources do not attribute this ABS-EE aggregate delta to a timing, population, correction, or classification component.</x:v>
      </x:c>
      <x:c r="Y60" s="27" t="str">
        <x:v>https://www.sec.gov/Archives/edgar/data/2012786/000095013124005152/d869874dex991.htm</x:v>
      </x:c>
      <x:c r="Z60" s="27" t="str">
        <x:v>2d438181c0cc3701f954ed5733f11caf50e8eeda4b57efa10f362ff0fdfd447e</x:v>
      </x:c>
    </x:row>
    <x:row r="61">
      <x:c r="A61" s="27" t="str">
        <x:v>TOYOTA-2024-B-2024-12</x:v>
      </x:c>
      <x:c r="B61" s="27" t="str">
        <x:v>2024-B</x:v>
      </x:c>
      <x:c r="C61" s="27" t="str">
        <x:v>2024-12</x:v>
      </x:c>
      <x:c r="D61" s="27" t="str">
        <x:v>2024-12-31</x:v>
      </x:c>
      <x:c r="E61" s="27" t="str">
        <x:v>2024-12-01</x:v>
      </x:c>
      <x:c r="F61" s="27" t="str">
        <x:v>2024-12-31</x:v>
      </x:c>
      <x:c r="G61" s="28" t="n">
        <x:v>31</x:v>
      </x:c>
      <x:c r="H61" s="27" t="str">
        <x:v>2025-01-29</x:v>
      </x:c>
      <x:c r="I61" s="27" t="str">
        <x:v>0000950131-25-000462</x:v>
      </x:c>
      <x:c r="J61" s="27" t="str">
        <x:v>0000950131-25-000458</x:v>
      </x:c>
      <x:c r="K61" s="29" t="n">
        <x:v>596578.35</x:v>
      </x:c>
      <x:c r="L61" s="29" t="n">
        <x:v>-66415.33</x:v>
      </x:c>
      <x:c r="M61" s="29" t="n">
        <x:v>-450397.34</x:v>
      </x:c>
      <x:c r="N61" s="29" t="n">
        <x:v>516812.67</x:v>
      </x:c>
      <x:c r="O61" s="29" t="n">
        <x:v>983846.83</x:v>
      </x:c>
      <x:c r="P61" s="29" t="n">
        <x:v>0</x:v>
      </x:c>
      <x:c r="Q61" s="29" t="n">
        <x:v>467034.16</x:v>
      </x:c>
      <x:c r="R61" s="29" t="n">
        <x:v>0</x:v>
      </x:c>
      <x:c r="S61" s="29" t="n">
        <x:v>0</x:v>
      </x:c>
      <x:c r="T61" s="27" t="str">
        <x:v>PASS</x:v>
      </x:c>
      <x:c r="U61" s="27" t="str">
        <x:v>PASS</x:v>
      </x:c>
      <x:c r="V61" s="29" t="n">
        <x:v>79765.68</x:v>
      </x:c>
      <x:c r="W61" s="27" t="str">
        <x:v>UNRESOLVED</x:v>
      </x:c>
      <x:c r="X61" s="27" t="str">
        <x:v>Residual retained; public certificate sources do not attribute this ABS-EE aggregate delta to a timing, population, correction, or classification component.</x:v>
      </x:c>
      <x:c r="Y61" s="27" t="str">
        <x:v>https://www.sec.gov/Archives/edgar/data/2012786/000095013125000458/d922216dex991.htm</x:v>
      </x:c>
      <x:c r="Z61" s="27" t="str">
        <x:v>76b32097d5f4f6f0b791b010d8e2d3f0ffd9fc0df97b29c9fcd6b2b9ff750a67</x:v>
      </x:c>
    </x:row>
    <x:row r="62">
      <x:c r="A62" s="27" t="str">
        <x:v>TOYOTA-2024-B-2025-01</x:v>
      </x:c>
      <x:c r="B62" s="27" t="str">
        <x:v>2024-B</x:v>
      </x:c>
      <x:c r="C62" s="27" t="str">
        <x:v>2025-01</x:v>
      </x:c>
      <x:c r="D62" s="27" t="str">
        <x:v>2025-01-31</x:v>
      </x:c>
      <x:c r="E62" s="27" t="str">
        <x:v>2025-01-01</x:v>
      </x:c>
      <x:c r="F62" s="27" t="str">
        <x:v>2025-01-31</x:v>
      </x:c>
      <x:c r="G62" s="28" t="n">
        <x:v>31</x:v>
      </x:c>
      <x:c r="H62" s="27" t="str">
        <x:v>2025-02-26</x:v>
      </x:c>
      <x:c r="I62" s="27" t="str">
        <x:v>0000950131-25-000883</x:v>
      </x:c>
      <x:c r="J62" s="27" t="str">
        <x:v>0000950131-25-000878</x:v>
      </x:c>
      <x:c r="K62" s="29" t="n">
        <x:v>640498.46</x:v>
      </x:c>
      <x:c r="L62" s="29" t="n">
        <x:v>-171103</x:v>
      </x:c>
      <x:c r="M62" s="29" t="n">
        <x:v>-393217.04</x:v>
      </x:c>
      <x:c r="N62" s="29" t="n">
        <x:v>564320.04</x:v>
      </x:c>
      <x:c r="O62" s="29" t="n">
        <x:v>1006793.58</x:v>
      </x:c>
      <x:c r="P62" s="29" t="n">
        <x:v>0</x:v>
      </x:c>
      <x:c r="Q62" s="29" t="n">
        <x:v>442473.54</x:v>
      </x:c>
      <x:c r="R62" s="29" t="n">
        <x:v>0</x:v>
      </x:c>
      <x:c r="S62" s="29" t="n">
        <x:v>0</x:v>
      </x:c>
      <x:c r="T62" s="27" t="str">
        <x:v>PASS</x:v>
      </x:c>
      <x:c r="U62" s="27" t="str">
        <x:v>PASS</x:v>
      </x:c>
      <x:c r="V62" s="29" t="n">
        <x:v>76178.42</x:v>
      </x:c>
      <x:c r="W62" s="27" t="str">
        <x:v>UNRESOLVED</x:v>
      </x:c>
      <x:c r="X62" s="27" t="str">
        <x:v>Residual retained; public certificate sources do not attribute this ABS-EE aggregate delta to a timing, population, correction, or classification component.</x:v>
      </x:c>
      <x:c r="Y62" s="27" t="str">
        <x:v>https://www.sec.gov/Archives/edgar/data/2012786/000095013125000878/d860811dex991.htm</x:v>
      </x:c>
      <x:c r="Z62" s="27" t="str">
        <x:v>0789fb5e81e5c97215aa285f62ba47a60f3e90cf0c64c6e0bf40497e983ffc19</x:v>
      </x:c>
    </x:row>
    <x:row r="63">
      <x:c r="A63" s="27" t="str">
        <x:v>TOYOTA-2024-B-2025-02</x:v>
      </x:c>
      <x:c r="B63" s="27" t="str">
        <x:v>2024-B</x:v>
      </x:c>
      <x:c r="C63" s="27" t="str">
        <x:v>2025-02</x:v>
      </x:c>
      <x:c r="D63" s="27" t="str">
        <x:v>2025-02-28</x:v>
      </x:c>
      <x:c r="E63" s="27" t="str">
        <x:v>2025-02-01</x:v>
      </x:c>
      <x:c r="F63" s="27" t="str">
        <x:v>2025-02-28</x:v>
      </x:c>
      <x:c r="G63" s="28" t="n">
        <x:v>28</x:v>
      </x:c>
      <x:c r="H63" s="27" t="str">
        <x:v>2025-03-27</x:v>
      </x:c>
      <x:c r="I63" s="27" t="str">
        <x:v>0000950131-25-001345</x:v>
      </x:c>
      <x:c r="J63" s="27" t="str">
        <x:v>0000950131-25-001341</x:v>
      </x:c>
      <x:c r="K63" s="29" t="n">
        <x:v>576544.95</x:v>
      </x:c>
      <x:c r="L63" s="29" t="n">
        <x:v>-36288.44</x:v>
      </x:c>
      <x:c r="M63" s="29" t="n">
        <x:v>-490155.57</x:v>
      </x:c>
      <x:c r="N63" s="29" t="n">
        <x:v>526444.01</x:v>
      </x:c>
      <x:c r="O63" s="29" t="n">
        <x:v>1097962.07</x:v>
      </x:c>
      <x:c r="P63" s="29" t="n">
        <x:v>0</x:v>
      </x:c>
      <x:c r="Q63" s="29" t="n">
        <x:v>571518.06</x:v>
      </x:c>
      <x:c r="R63" s="29" t="n">
        <x:v>0</x:v>
      </x:c>
      <x:c r="S63" s="29" t="n">
        <x:v>0</x:v>
      </x:c>
      <x:c r="T63" s="27" t="str">
        <x:v>PASS</x:v>
      </x:c>
      <x:c r="U63" s="27" t="str">
        <x:v>PASS</x:v>
      </x:c>
      <x:c r="V63" s="29" t="n">
        <x:v>50100.94</x:v>
      </x:c>
      <x:c r="W63" s="27" t="str">
        <x:v>UNRESOLVED</x:v>
      </x:c>
      <x:c r="X63" s="27" t="str">
        <x:v>Residual retained; public certificate sources do not attribute this ABS-EE aggregate delta to a timing, population, correction, or classification component.</x:v>
      </x:c>
      <x:c r="Y63" s="27" t="str">
        <x:v>https://www.sec.gov/Archives/edgar/data/2012786/000095013125001341/d904636dex991.htm</x:v>
      </x:c>
      <x:c r="Z63" s="27" t="str">
        <x:v>81615db0b199d5216cf6a9f816de687cddc73288e914c2ff9991202e08b3bbd4</x:v>
      </x:c>
    </x:row>
    <x:row r="64">
      <x:c r="A64" s="27" t="str">
        <x:v>TOYOTA-2024-B-2025-03</x:v>
      </x:c>
      <x:c r="B64" s="27" t="str">
        <x:v>2024-B</x:v>
      </x:c>
      <x:c r="C64" s="27" t="str">
        <x:v>2025-03</x:v>
      </x:c>
      <x:c r="D64" s="27" t="str">
        <x:v>2025-03-31</x:v>
      </x:c>
      <x:c r="E64" s="27" t="str">
        <x:v>2025-03-01</x:v>
      </x:c>
      <x:c r="F64" s="27" t="str">
        <x:v>2025-03-31</x:v>
      </x:c>
      <x:c r="G64" s="28" t="n">
        <x:v>31</x:v>
      </x:c>
      <x:c r="H64" s="27" t="str">
        <x:v>2025-04-28</x:v>
      </x:c>
      <x:c r="I64" s="27" t="str">
        <x:v>0000950131-25-001820</x:v>
      </x:c>
      <x:c r="J64" s="27" t="str">
        <x:v>0000950131-25-001816</x:v>
      </x:c>
      <x:c r="K64" s="29" t="n">
        <x:v>936438.19</x:v>
      </x:c>
      <x:c r="L64" s="29" t="n">
        <x:v>-281855.18</x:v>
      </x:c>
      <x:c r="M64" s="29" t="n">
        <x:v>-564439.87</x:v>
      </x:c>
      <x:c r="N64" s="29" t="n">
        <x:v>846295.05</x:v>
      </x:c>
      <x:c r="O64" s="29" t="n">
        <x:v>1345766.34</x:v>
      </x:c>
      <x:c r="P64" s="29" t="n">
        <x:v>0</x:v>
      </x:c>
      <x:c r="Q64" s="29" t="n">
        <x:v>499471.29</x:v>
      </x:c>
      <x:c r="R64" s="29" t="n">
        <x:v>0</x:v>
      </x:c>
      <x:c r="S64" s="29" t="n">
        <x:v>0</x:v>
      </x:c>
      <x:c r="T64" s="27" t="str">
        <x:v>PASS</x:v>
      </x:c>
      <x:c r="U64" s="27" t="str">
        <x:v>PASS</x:v>
      </x:c>
      <x:c r="V64" s="29" t="n">
        <x:v>90143.14</x:v>
      </x:c>
      <x:c r="W64" s="27" t="str">
        <x:v>UNRESOLVED</x:v>
      </x:c>
      <x:c r="X64" s="27" t="str">
        <x:v>Residual retained; public certificate sources do not attribute this ABS-EE aggregate delta to a timing, population, correction, or classification component.</x:v>
      </x:c>
      <x:c r="Y64" s="27" t="str">
        <x:v>https://www.sec.gov/Archives/edgar/data/2012786/000095013125001816/d922628dex991.htm</x:v>
      </x:c>
      <x:c r="Z64" s="27" t="str">
        <x:v>b6e84e7b7903bc7506b27ef490de1d872b74fdd07a1fea20546d381dc24d4418</x:v>
      </x:c>
    </x:row>
    <x:row r="65">
      <x:c r="A65" s="27" t="str">
        <x:v>TOYOTA-2024-B-2025-04</x:v>
      </x:c>
      <x:c r="B65" s="27" t="str">
        <x:v>2024-B</x:v>
      </x:c>
      <x:c r="C65" s="27" t="str">
        <x:v>2025-04</x:v>
      </x:c>
      <x:c r="D65" s="27" t="str">
        <x:v>2025-04-30</x:v>
      </x:c>
      <x:c r="E65" s="27" t="str">
        <x:v>2025-04-01</x:v>
      </x:c>
      <x:c r="F65" s="27" t="str">
        <x:v>2025-04-30</x:v>
      </x:c>
      <x:c r="G65" s="28" t="n">
        <x:v>30</x:v>
      </x:c>
      <x:c r="H65" s="27" t="str">
        <x:v>2025-05-28</x:v>
      </x:c>
      <x:c r="I65" s="27" t="str">
        <x:v>0000950131-25-002271</x:v>
      </x:c>
      <x:c r="J65" s="27" t="str">
        <x:v>0000950131-25-002267</x:v>
      </x:c>
      <x:c r="K65" s="29" t="n">
        <x:v>834540.77</x:v>
      </x:c>
      <x:c r="L65" s="29" t="n">
        <x:v>-150252.4</x:v>
      </x:c>
      <x:c r="M65" s="29" t="n">
        <x:v>-532581.77</x:v>
      </x:c>
      <x:c r="N65" s="29" t="n">
        <x:v>682834.17</x:v>
      </x:c>
      <x:c r="O65" s="29" t="n">
        <x:v>578793.88</x:v>
      </x:c>
      <x:c r="P65" s="29" t="n">
        <x:v>0</x:v>
      </x:c>
      <x:c r="Q65" s="29" t="n">
        <x:v>-104040.29</x:v>
      </x:c>
      <x:c r="R65" s="29" t="n">
        <x:v>0</x:v>
      </x:c>
      <x:c r="S65" s="29" t="n">
        <x:v>0</x:v>
      </x:c>
      <x:c r="T65" s="27" t="str">
        <x:v>PASS</x:v>
      </x:c>
      <x:c r="U65" s="27" t="str">
        <x:v>PASS</x:v>
      </x:c>
      <x:c r="V65" s="29" t="n">
        <x:v>151706.6</x:v>
      </x:c>
      <x:c r="W65" s="27" t="str">
        <x:v>UNRESOLVED</x:v>
      </x:c>
      <x:c r="X65" s="27" t="str">
        <x:v>Residual retained; public certificate sources do not attribute this ABS-EE aggregate delta to a timing, population, correction, or classification component.</x:v>
      </x:c>
      <x:c r="Y65" s="27" t="str">
        <x:v>https://www.sec.gov/Archives/edgar/data/2012786/000095013125002267/d923232dex991.htm</x:v>
      </x:c>
      <x:c r="Z65" s="27" t="str">
        <x:v>3b25f21a7a22f047085825431d122410d5d8ace90dd6f38b4c4f2d6d88807534</x:v>
      </x:c>
    </x:row>
    <x:row r="66">
      <x:c r="A66" s="27" t="str">
        <x:v>TOYOTA-2024-B-2025-05</x:v>
      </x:c>
      <x:c r="B66" s="27" t="str">
        <x:v>2024-B</x:v>
      </x:c>
      <x:c r="C66" s="27" t="str">
        <x:v>2025-05</x:v>
      </x:c>
      <x:c r="D66" s="27" t="str">
        <x:v>2025-05-31</x:v>
      </x:c>
      <x:c r="E66" s="27" t="str">
        <x:v>2025-05-01</x:v>
      </x:c>
      <x:c r="F66" s="27" t="str">
        <x:v>2025-05-31</x:v>
      </x:c>
      <x:c r="G66" s="28" t="n">
        <x:v>31</x:v>
      </x:c>
      <x:c r="H66" s="27" t="str">
        <x:v>2025-06-26</x:v>
      </x:c>
      <x:c r="I66" s="27" t="str">
        <x:v>0000950131-25-002669</x:v>
      </x:c>
      <x:c r="J66" s="27" t="str">
        <x:v>0000950131-25-002665</x:v>
      </x:c>
      <x:c r="K66" s="29" t="n">
        <x:v>600173.25</x:v>
      </x:c>
      <x:c r="L66" s="29" t="n">
        <x:v>-144412.24</x:v>
      </x:c>
      <x:c r="M66" s="29" t="n">
        <x:v>-355824.17</x:v>
      </x:c>
      <x:c r="N66" s="29" t="n">
        <x:v>500236.41</x:v>
      </x:c>
      <x:c r="O66" s="29" t="n">
        <x:v>676600.2</x:v>
      </x:c>
      <x:c r="P66" s="29" t="n">
        <x:v>0</x:v>
      </x:c>
      <x:c r="Q66" s="29" t="n">
        <x:v>176363.79</x:v>
      </x:c>
      <x:c r="R66" s="29" t="n">
        <x:v>0</x:v>
      </x:c>
      <x:c r="S66" s="29" t="n">
        <x:v>0</x:v>
      </x:c>
      <x:c r="T66" s="27" t="str">
        <x:v>PASS</x:v>
      </x:c>
      <x:c r="U66" s="27" t="str">
        <x:v>PASS</x:v>
      </x:c>
      <x:c r="V66" s="29" t="n">
        <x:v>99936.84</x:v>
      </x:c>
      <x:c r="W66" s="27" t="str">
        <x:v>UNRESOLVED</x:v>
      </x:c>
      <x:c r="X66" s="27" t="str">
        <x:v>Residual retained; public certificate sources do not attribute this ABS-EE aggregate delta to a timing, population, correction, or classification component.</x:v>
      </x:c>
      <x:c r="Y66" s="27" t="str">
        <x:v>https://www.sec.gov/Archives/edgar/data/2012786/000095013125002665/d39974dex991.htm</x:v>
      </x:c>
      <x:c r="Z66" s="27" t="str">
        <x:v>850a9ab34c73737b3db63fd1bd0da4e023bac4a982fb4798664d6f68859d7363</x:v>
      </x:c>
    </x:row>
    <x:row r="67">
      <x:c r="A67" s="27" t="str">
        <x:v>TOYOTA-2024-B-2025-06</x:v>
      </x:c>
      <x:c r="B67" s="27" t="str">
        <x:v>2024-B</x:v>
      </x:c>
      <x:c r="C67" s="27" t="str">
        <x:v>2025-06</x:v>
      </x:c>
      <x:c r="D67" s="27" t="str">
        <x:v>2025-06-30</x:v>
      </x:c>
      <x:c r="E67" s="27" t="str">
        <x:v>2025-06-01</x:v>
      </x:c>
      <x:c r="F67" s="27" t="str">
        <x:v>2025-06-30</x:v>
      </x:c>
      <x:c r="G67" s="28" t="n">
        <x:v>30</x:v>
      </x:c>
      <x:c r="H67" s="27" t="str">
        <x:v>2025-07-29</x:v>
      </x:c>
      <x:c r="I67" s="27" t="str">
        <x:v>0000950131-25-003104</x:v>
      </x:c>
      <x:c r="J67" s="27" t="str">
        <x:v>0000950131-25-003100</x:v>
      </x:c>
      <x:c r="K67" s="29" t="n">
        <x:v>573690.34</x:v>
      </x:c>
      <x:c r="L67" s="29" t="n">
        <x:v>-56865.27</x:v>
      </x:c>
      <x:c r="M67" s="29" t="n">
        <x:v>-473886.65</x:v>
      </x:c>
      <x:c r="N67" s="29" t="n">
        <x:v>530751.92</x:v>
      </x:c>
      <x:c r="O67" s="29" t="n">
        <x:v>522399.99</x:v>
      </x:c>
      <x:c r="P67" s="29" t="n">
        <x:v>0</x:v>
      </x:c>
      <x:c r="Q67" s="29" t="n">
        <x:v>-8351.93</x:v>
      </x:c>
      <x:c r="R67" s="29" t="n">
        <x:v>0</x:v>
      </x:c>
      <x:c r="S67" s="29" t="n">
        <x:v>0</x:v>
      </x:c>
      <x:c r="T67" s="27" t="str">
        <x:v>PASS</x:v>
      </x:c>
      <x:c r="U67" s="27" t="str">
        <x:v>PASS</x:v>
      </x:c>
      <x:c r="V67" s="29" t="n">
        <x:v>42938.42</x:v>
      </x:c>
      <x:c r="W67" s="27" t="str">
        <x:v>UNRESOLVED</x:v>
      </x:c>
      <x:c r="X67" s="27" t="str">
        <x:v>Residual retained; public certificate sources do not attribute this ABS-EE aggregate delta to a timing, population, correction, or classification component.</x:v>
      </x:c>
      <x:c r="Y67" s="27" t="str">
        <x:v>https://www.sec.gov/Archives/edgar/data/2012786/000095013125003100/d31622dex991.htm</x:v>
      </x:c>
      <x:c r="Z67" s="27" t="str">
        <x:v>e4d1052e65077f7d66fffd44ef9e66abdb2f1429fdae94d793391630cd926aac</x:v>
      </x:c>
    </x:row>
    <x:row r="68">
      <x:c r="A68" s="27" t="str">
        <x:v>TOYOTA-2024-B-2025-07</x:v>
      </x:c>
      <x:c r="B68" s="27" t="str">
        <x:v>2024-B</x:v>
      </x:c>
      <x:c r="C68" s="27" t="str">
        <x:v>2025-07</x:v>
      </x:c>
      <x:c r="D68" s="27" t="str">
        <x:v>2025-07-31</x:v>
      </x:c>
      <x:c r="E68" s="27" t="str">
        <x:v>2025-07-01</x:v>
      </x:c>
      <x:c r="F68" s="27" t="str">
        <x:v>2025-07-31</x:v>
      </x:c>
      <x:c r="G68" s="28" t="n">
        <x:v>31</x:v>
      </x:c>
      <x:c r="H68" s="27" t="str">
        <x:v>2025-08-27</x:v>
      </x:c>
      <x:c r="I68" s="27" t="str">
        <x:v>0000950131-25-003508</x:v>
      </x:c>
      <x:c r="J68" s="27" t="str">
        <x:v>0000950131-25-003504</x:v>
      </x:c>
      <x:c r="K68" s="29" t="n">
        <x:v>645031.88</x:v>
      </x:c>
      <x:c r="L68" s="29" t="n">
        <x:v>-205981.42</x:v>
      </x:c>
      <x:c r="M68" s="29" t="n">
        <x:v>-372551.92</x:v>
      </x:c>
      <x:c r="N68" s="29" t="n">
        <x:v>578533.34</x:v>
      </x:c>
      <x:c r="O68" s="29" t="n">
        <x:v>905185.05</x:v>
      </x:c>
      <x:c r="P68" s="29" t="n">
        <x:v>0</x:v>
      </x:c>
      <x:c r="Q68" s="29" t="n">
        <x:v>326651.71</x:v>
      </x:c>
      <x:c r="R68" s="29" t="n">
        <x:v>0</x:v>
      </x:c>
      <x:c r="S68" s="29" t="n">
        <x:v>0</x:v>
      </x:c>
      <x:c r="T68" s="27" t="str">
        <x:v>PASS</x:v>
      </x:c>
      <x:c r="U68" s="27" t="str">
        <x:v>PASS</x:v>
      </x:c>
      <x:c r="V68" s="29" t="n">
        <x:v>66498.54</x:v>
      </x:c>
      <x:c r="W68" s="27" t="str">
        <x:v>UNRESOLVED</x:v>
      </x:c>
      <x:c r="X68" s="27" t="str">
        <x:v>Residual retained; public certificate sources do not attribute this ABS-EE aggregate delta to a timing, population, correction, or classification component.</x:v>
      </x:c>
      <x:c r="Y68" s="27" t="str">
        <x:v>https://www.sec.gov/Archives/edgar/data/2012786/000095013125003504/d812818dex991.htm</x:v>
      </x:c>
      <x:c r="Z68" s="27" t="str">
        <x:v>8bc7b1e0b452b09151c11f239b0bbf03c9037be889be46bab85092896bb8201f</x:v>
      </x:c>
    </x:row>
    <x:row r="69">
      <x:c r="A69" s="27" t="str">
        <x:v>TOYOTA-2024-B-2025-08</x:v>
      </x:c>
      <x:c r="B69" s="27" t="str">
        <x:v>2024-B</x:v>
      </x:c>
      <x:c r="C69" s="27" t="str">
        <x:v>2025-08</x:v>
      </x:c>
      <x:c r="D69" s="27" t="str">
        <x:v>2025-08-31</x:v>
      </x:c>
      <x:c r="E69" s="27" t="str">
        <x:v>2025-08-01</x:v>
      </x:c>
      <x:c r="F69" s="27" t="str">
        <x:v>2025-08-31</x:v>
      </x:c>
      <x:c r="G69" s="28" t="n">
        <x:v>31</x:v>
      </x:c>
      <x:c r="H69" s="27" t="str">
        <x:v>2025-09-26</x:v>
      </x:c>
      <x:c r="I69" s="27" t="str">
        <x:v>0001193125-25-219721</x:v>
      </x:c>
      <x:c r="J69" s="27" t="str">
        <x:v>0001193125-25-219716</x:v>
      </x:c>
      <x:c r="K69" s="29" t="n">
        <x:v>439926.23</x:v>
      </x:c>
      <x:c r="L69" s="29" t="n">
        <x:v>-78760.92</x:v>
      </x:c>
      <x:c r="M69" s="29" t="n">
        <x:v>-244454.01</x:v>
      </x:c>
      <x:c r="N69" s="29" t="n">
        <x:v>323214.93</x:v>
      </x:c>
      <x:c r="O69" s="29" t="n">
        <x:v>956700.84</x:v>
      </x:c>
      <x:c r="P69" s="29" t="n">
        <x:v>0</x:v>
      </x:c>
      <x:c r="Q69" s="29" t="n">
        <x:v>633485.91</x:v>
      </x:c>
      <x:c r="R69" s="29" t="n">
        <x:v>0</x:v>
      </x:c>
      <x:c r="S69" s="29" t="n">
        <x:v>0</x:v>
      </x:c>
      <x:c r="T69" s="27" t="str">
        <x:v>PASS</x:v>
      </x:c>
      <x:c r="U69" s="27" t="str">
        <x:v>PASS</x:v>
      </x:c>
      <x:c r="V69" s="29" t="n">
        <x:v>116711.3</x:v>
      </x:c>
      <x:c r="W69" s="27" t="str">
        <x:v>UNRESOLVED</x:v>
      </x:c>
      <x:c r="X69" s="27" t="str">
        <x:v>Residual retained; public certificate sources do not attribute this ABS-EE aggregate delta to a timing, population, correction, or classification component.</x:v>
      </x:c>
      <x:c r="Y69" s="27" t="str">
        <x:v>https://www.sec.gov/Archives/edgar/data/2012786/000119312525219716/d18148dex991.htm</x:v>
      </x:c>
      <x:c r="Z69" s="27" t="str">
        <x:v>978f699038633c81720ec988768524ee37682add5b223ecee4801216e78fe96e</x:v>
      </x:c>
    </x:row>
    <x:row r="70">
      <x:c r="A70" s="27" t="str">
        <x:v>TOYOTA-2024-B-2025-09</x:v>
      </x:c>
      <x:c r="B70" s="27" t="str">
        <x:v>2024-B</x:v>
      </x:c>
      <x:c r="C70" s="27" t="str">
        <x:v>2025-09</x:v>
      </x:c>
      <x:c r="D70" s="27" t="str">
        <x:v>2025-09-30</x:v>
      </x:c>
      <x:c r="E70" s="27" t="str">
        <x:v>2025-09-01</x:v>
      </x:c>
      <x:c r="F70" s="27" t="str">
        <x:v>2025-09-30</x:v>
      </x:c>
      <x:c r="G70" s="28" t="n">
        <x:v>30</x:v>
      </x:c>
      <x:c r="H70" s="27" t="str">
        <x:v>2025-10-29</x:v>
      </x:c>
      <x:c r="I70" s="27" t="str">
        <x:v>0001193125-25-255557</x:v>
      </x:c>
      <x:c r="J70" s="27" t="str">
        <x:v>0001193125-25-255547</x:v>
      </x:c>
      <x:c r="K70" s="29" t="n">
        <x:v>751399.93</x:v>
      </x:c>
      <x:c r="L70" s="29" t="n">
        <x:v>-90902.21</x:v>
      </x:c>
      <x:c r="M70" s="29" t="n">
        <x:v>-624774.6</x:v>
      </x:c>
      <x:c r="N70" s="29" t="n">
        <x:v>715676.81</x:v>
      </x:c>
      <x:c r="O70" s="29" t="n">
        <x:v>703159.14</x:v>
      </x:c>
      <x:c r="P70" s="29" t="n">
        <x:v>0</x:v>
      </x:c>
      <x:c r="Q70" s="29" t="n">
        <x:v>-12517.67</x:v>
      </x:c>
      <x:c r="R70" s="29" t="n">
        <x:v>0</x:v>
      </x:c>
      <x:c r="S70" s="29" t="n">
        <x:v>0</x:v>
      </x:c>
      <x:c r="T70" s="27" t="str">
        <x:v>PASS</x:v>
      </x:c>
      <x:c r="U70" s="27" t="str">
        <x:v>PASS</x:v>
      </x:c>
      <x:c r="V70" s="29" t="n">
        <x:v>35723.12</x:v>
      </x:c>
      <x:c r="W70" s="27" t="str">
        <x:v>UNRESOLVED</x:v>
      </x:c>
      <x:c r="X70" s="27" t="str">
        <x:v>Residual retained; public certificate sources do not attribute this ABS-EE aggregate delta to a timing, population, correction, or classification component.</x:v>
      </x:c>
      <x:c r="Y70" s="27" t="str">
        <x:v>https://www.sec.gov/Archives/edgar/data/2012786/000119312525255547/d939880dex991.htm</x:v>
      </x:c>
      <x:c r="Z70" s="27" t="str">
        <x:v>ebeb070d595e0eb5d84156158b0b27fa6548dc72ba25d6253652448bd25b4337</x:v>
      </x:c>
    </x:row>
    <x:row r="71">
      <x:c r="A71" s="27" t="str">
        <x:v>TOYOTA-2024-B-2025-10</x:v>
      </x:c>
      <x:c r="B71" s="27" t="str">
        <x:v>2024-B</x:v>
      </x:c>
      <x:c r="C71" s="27" t="str">
        <x:v>2025-10</x:v>
      </x:c>
      <x:c r="D71" s="27" t="str">
        <x:v>2025-10-31</x:v>
      </x:c>
      <x:c r="E71" s="27" t="str">
        <x:v>2025-10-01</x:v>
      </x:c>
      <x:c r="F71" s="27" t="str">
        <x:v>2025-10-31</x:v>
      </x:c>
      <x:c r="G71" s="28" t="n">
        <x:v>31</x:v>
      </x:c>
      <x:c r="H71" s="27" t="str">
        <x:v>2025-11-25</x:v>
      </x:c>
      <x:c r="I71" s="27" t="str">
        <x:v>0001193125-25-295569</x:v>
      </x:c>
      <x:c r="J71" s="27" t="str">
        <x:v>0001193125-25-295564</x:v>
      </x:c>
      <x:c r="K71" s="29" t="n">
        <x:v>541238.03</x:v>
      </x:c>
      <x:c r="L71" s="29" t="n">
        <x:v>-65699.6</x:v>
      </x:c>
      <x:c r="M71" s="29" t="n">
        <x:v>-354482.47</x:v>
      </x:c>
      <x:c r="N71" s="29" t="n">
        <x:v>420182.07</x:v>
      </x:c>
      <x:c r="O71" s="29" t="n">
        <x:v>444248.42</x:v>
      </x:c>
      <x:c r="P71" s="29" t="n">
        <x:v>0</x:v>
      </x:c>
      <x:c r="Q71" s="29" t="n">
        <x:v>24066.35</x:v>
      </x:c>
      <x:c r="R71" s="29" t="n">
        <x:v>0</x:v>
      </x:c>
      <x:c r="S71" s="29" t="n">
        <x:v>0</x:v>
      </x:c>
      <x:c r="T71" s="27" t="str">
        <x:v>PASS</x:v>
      </x:c>
      <x:c r="U71" s="27" t="str">
        <x:v>PASS</x:v>
      </x:c>
      <x:c r="V71" s="29" t="n">
        <x:v>121055.96</x:v>
      </x:c>
      <x:c r="W71" s="27" t="str">
        <x:v>UNRESOLVED</x:v>
      </x:c>
      <x:c r="X71" s="27" t="str">
        <x:v>Residual retained; public certificate sources do not attribute this ABS-EE aggregate delta to a timing, population, correction, or classification component.</x:v>
      </x:c>
      <x:c r="Y71" s="27" t="str">
        <x:v>https://www.sec.gov/Archives/edgar/data/2012786/000119312525295564/d17705dex991.htm</x:v>
      </x:c>
      <x:c r="Z71" s="27" t="str">
        <x:v>e33e3b019c626a1ea6016e1eea522ed175d9286cef31cac3d68d6f3f075f6da9</x:v>
      </x:c>
    </x:row>
    <x:row r="72">
      <x:c r="A72" s="27" t="str">
        <x:v>TOYOTA-2024-B-2025-11</x:v>
      </x:c>
      <x:c r="B72" s="27" t="str">
        <x:v>2024-B</x:v>
      </x:c>
      <x:c r="C72" s="27" t="str">
        <x:v>2025-11</x:v>
      </x:c>
      <x:c r="D72" s="27" t="str">
        <x:v>2025-11-30</x:v>
      </x:c>
      <x:c r="E72" s="27" t="str">
        <x:v>2025-11-01</x:v>
      </x:c>
      <x:c r="F72" s="27" t="str">
        <x:v>2025-11-30</x:v>
      </x:c>
      <x:c r="G72" s="28" t="n">
        <x:v>30</x:v>
      </x:c>
      <x:c r="H72" s="27" t="str">
        <x:v>2025-12-22</x:v>
      </x:c>
      <x:c r="I72" s="27" t="str">
        <x:v>0001193125-25-328014</x:v>
      </x:c>
      <x:c r="J72" s="27" t="str">
        <x:v>0001193125-25-328003</x:v>
      </x:c>
      <x:c r="K72" s="29" t="n">
        <x:v>455486.86</x:v>
      </x:c>
      <x:c r="L72" s="29" t="n">
        <x:v>-72605.34</x:v>
      </x:c>
      <x:c r="M72" s="29" t="n">
        <x:v>-317169</x:v>
      </x:c>
      <x:c r="N72" s="29" t="n">
        <x:v>389774.34</x:v>
      </x:c>
      <x:c r="O72" s="29" t="n">
        <x:v>540623.87</x:v>
      </x:c>
      <x:c r="P72" s="29" t="n">
        <x:v>0</x:v>
      </x:c>
      <x:c r="Q72" s="29" t="n">
        <x:v>150849.53</x:v>
      </x:c>
      <x:c r="R72" s="29" t="n">
        <x:v>0</x:v>
      </x:c>
      <x:c r="S72" s="29" t="n">
        <x:v>0</x:v>
      </x:c>
      <x:c r="T72" s="27" t="str">
        <x:v>PASS</x:v>
      </x:c>
      <x:c r="U72" s="27" t="str">
        <x:v>PASS</x:v>
      </x:c>
      <x:c r="V72" s="29" t="n">
        <x:v>65712.52</x:v>
      </x:c>
      <x:c r="W72" s="27" t="str">
        <x:v>UNRESOLVED</x:v>
      </x:c>
      <x:c r="X72" s="27" t="str">
        <x:v>Residual retained; public certificate sources do not attribute this ABS-EE aggregate delta to a timing, population, correction, or classification component.</x:v>
      </x:c>
      <x:c r="Y72" s="27" t="str">
        <x:v>https://www.sec.gov/Archives/edgar/data/2012786/000119312525328003/d871370dex991.htm</x:v>
      </x:c>
      <x:c r="Z72" s="27" t="str">
        <x:v>7d887e571c00f5eb97d584b13dea189ceab033318a6bc69b20bb1b5be2acd178</x:v>
      </x:c>
    </x:row>
    <x:row r="73">
      <x:c r="A73" s="27" t="str">
        <x:v>TOYOTA-2024-B-2025-12</x:v>
      </x:c>
      <x:c r="B73" s="27" t="str">
        <x:v>2024-B</x:v>
      </x:c>
      <x:c r="C73" s="27" t="str">
        <x:v>2025-12</x:v>
      </x:c>
      <x:c r="D73" s="27" t="str">
        <x:v>2025-12-31</x:v>
      </x:c>
      <x:c r="E73" s="27" t="str">
        <x:v>2025-12-01</x:v>
      </x:c>
      <x:c r="F73" s="27" t="str">
        <x:v>2025-12-31</x:v>
      </x:c>
      <x:c r="G73" s="28" t="n">
        <x:v>31</x:v>
      </x:c>
      <x:c r="H73" s="27" t="str">
        <x:v>2026-01-28</x:v>
      </x:c>
      <x:c r="I73" s="27" t="str">
        <x:v>0001193125-26-026632</x:v>
      </x:c>
      <x:c r="J73" s="27" t="str">
        <x:v>0001193125-26-026626</x:v>
      </x:c>
      <x:c r="K73" s="29" t="n">
        <x:v>279962.6</x:v>
      </x:c>
      <x:c r="L73" s="29" t="n">
        <x:v>6248.78</x:v>
      </x:c>
      <x:c r="M73" s="29" t="n">
        <x:v>-218301.18</x:v>
      </x:c>
      <x:c r="N73" s="29" t="n">
        <x:v>212052.4</x:v>
      </x:c>
      <x:c r="O73" s="29" t="n">
        <x:v>441071.42</x:v>
      </x:c>
      <x:c r="P73" s="29" t="n">
        <x:v>0</x:v>
      </x:c>
      <x:c r="Q73" s="29" t="n">
        <x:v>229019.02</x:v>
      </x:c>
      <x:c r="R73" s="29" t="n">
        <x:v>0</x:v>
      </x:c>
      <x:c r="S73" s="29" t="n">
        <x:v>0</x:v>
      </x:c>
      <x:c r="T73" s="27" t="str">
        <x:v>PASS</x:v>
      </x:c>
      <x:c r="U73" s="27" t="str">
        <x:v>PASS</x:v>
      </x:c>
      <x:c r="V73" s="29" t="n">
        <x:v>67910.2</x:v>
      </x:c>
      <x:c r="W73" s="27" t="str">
        <x:v>UNRESOLVED</x:v>
      </x:c>
      <x:c r="X73" s="27" t="str">
        <x:v>Residual retained; public certificate sources do not attribute this ABS-EE aggregate delta to a timing, population, correction, or classification component.</x:v>
      </x:c>
      <x:c r="Y73" s="27" t="str">
        <x:v>https://www.sec.gov/Archives/edgar/data/2012786/000119312526026626/d34067dex991.htm</x:v>
      </x:c>
      <x:c r="Z73" s="27" t="str">
        <x:v>41720200f70e74ddb21b07d6f44ccd7c33497f23b1e43e58835adf40999ca673</x:v>
      </x:c>
    </x:row>
    <x:row r="74">
      <x:c r="A74" s="27" t="str">
        <x:v>TOYOTA-2024-B-2026-01</x:v>
      </x:c>
      <x:c r="B74" s="27" t="str">
        <x:v>2024-B</x:v>
      </x:c>
      <x:c r="C74" s="27" t="str">
        <x:v>2026-01</x:v>
      </x:c>
      <x:c r="D74" s="27" t="str">
        <x:v>2026-01-31</x:v>
      </x:c>
      <x:c r="E74" s="27" t="str">
        <x:v>2026-01-01</x:v>
      </x:c>
      <x:c r="F74" s="27" t="str">
        <x:v>2026-01-31</x:v>
      </x:c>
      <x:c r="G74" s="28" t="n">
        <x:v>31</x:v>
      </x:c>
      <x:c r="H74" s="27" t="str">
        <x:v>2026-02-25</x:v>
      </x:c>
      <x:c r="I74" s="27" t="str">
        <x:v>0001193125-26-069385</x:v>
      </x:c>
      <x:c r="J74" s="27" t="str">
        <x:v>0001193125-26-069380</x:v>
      </x:c>
      <x:c r="K74" s="29" t="n">
        <x:v>455763.18</x:v>
      </x:c>
      <x:c r="L74" s="29" t="n">
        <x:v>-92186.86</x:v>
      </x:c>
      <x:c r="M74" s="29" t="n">
        <x:v>-291069.7</x:v>
      </x:c>
      <x:c r="N74" s="29" t="n">
        <x:v>383256.56</x:v>
      </x:c>
      <x:c r="O74" s="29" t="n">
        <x:v>734600.25</x:v>
      </x:c>
      <x:c r="P74" s="29" t="n">
        <x:v>0</x:v>
      </x:c>
      <x:c r="Q74" s="29" t="n">
        <x:v>351343.69</x:v>
      </x:c>
      <x:c r="R74" s="29" t="n">
        <x:v>0</x:v>
      </x:c>
      <x:c r="S74" s="29" t="n">
        <x:v>0</x:v>
      </x:c>
      <x:c r="T74" s="27" t="str">
        <x:v>PASS</x:v>
      </x:c>
      <x:c r="U74" s="27" t="str">
        <x:v>PASS</x:v>
      </x:c>
      <x:c r="V74" s="29" t="n">
        <x:v>72506.62</x:v>
      </x:c>
      <x:c r="W74" s="27" t="str">
        <x:v>UNRESOLVED</x:v>
      </x:c>
      <x:c r="X74" s="27" t="str">
        <x:v>Residual retained; public certificate sources do not attribute this ABS-EE aggregate delta to a timing, population, correction, or classification component.</x:v>
      </x:c>
      <x:c r="Y74" s="27" t="str">
        <x:v>https://www.sec.gov/Archives/edgar/data/2012786/000119312526069380/d65586dex991.htm</x:v>
      </x:c>
      <x:c r="Z74" s="27" t="str">
        <x:v>7b15876b9808a5e6924f3ad70f0006d92a75e386b795f31cb5e992ac14b43c09</x:v>
      </x:c>
    </x:row>
    <x:row r="75">
      <x:c r="A75" s="27" t="str">
        <x:v>TOYOTA-2024-B-2026-02</x:v>
      </x:c>
      <x:c r="B75" s="27" t="str">
        <x:v>2024-B</x:v>
      </x:c>
      <x:c r="C75" s="27" t="str">
        <x:v>2026-02</x:v>
      </x:c>
      <x:c r="D75" s="27" t="str">
        <x:v>2026-02-28</x:v>
      </x:c>
      <x:c r="E75" s="27" t="str">
        <x:v>2026-02-01</x:v>
      </x:c>
      <x:c r="F75" s="27" t="str">
        <x:v>2026-02-28</x:v>
      </x:c>
      <x:c r="G75" s="28" t="n">
        <x:v>28</x:v>
      </x:c>
      <x:c r="H75" s="27" t="str">
        <x:v>2026-03-27</x:v>
      </x:c>
      <x:c r="I75" s="27" t="str">
        <x:v>0001193125-26-127962</x:v>
      </x:c>
      <x:c r="J75" s="27" t="str">
        <x:v>0001193125-26-127954</x:v>
      </x:c>
      <x:c r="K75" s="29" t="n">
        <x:v>538886.26</x:v>
      </x:c>
      <x:c r="L75" s="29" t="n">
        <x:v>-51274.62</x:v>
      </x:c>
      <x:c r="M75" s="29" t="n">
        <x:v>-418891.88</x:v>
      </x:c>
      <x:c r="N75" s="29" t="n">
        <x:v>470166.5</x:v>
      </x:c>
      <x:c r="O75" s="29" t="n">
        <x:v>481121.97</x:v>
      </x:c>
      <x:c r="P75" s="29" t="n">
        <x:v>0</x:v>
      </x:c>
      <x:c r="Q75" s="29" t="n">
        <x:v>10955.47</x:v>
      </x:c>
      <x:c r="R75" s="29" t="n">
        <x:v>0</x:v>
      </x:c>
      <x:c r="S75" s="29" t="n">
        <x:v>0</x:v>
      </x:c>
      <x:c r="T75" s="27" t="str">
        <x:v>PASS</x:v>
      </x:c>
      <x:c r="U75" s="27" t="str">
        <x:v>PASS</x:v>
      </x:c>
      <x:c r="V75" s="29" t="n">
        <x:v>68719.76</x:v>
      </x:c>
      <x:c r="W75" s="27" t="str">
        <x:v>UNRESOLVED</x:v>
      </x:c>
      <x:c r="X75" s="27" t="str">
        <x:v>Residual retained; public certificate sources do not attribute this ABS-EE aggregate delta to a timing, population, correction, or classification component.</x:v>
      </x:c>
      <x:c r="Y75" s="27" t="str">
        <x:v>https://www.sec.gov/Archives/edgar/data/2012786/000119312526127954/d126685dex991.htm</x:v>
      </x:c>
      <x:c r="Z75" s="27" t="str">
        <x:v>63983da1b699ea2c3f4ea8eb20a63acc25823bcf9c53915c8f8c65a1752a6b44</x:v>
      </x:c>
    </x:row>
    <x:row r="76">
      <x:c r="A76" s="27" t="str">
        <x:v>TOYOTA-2024-B-2026-03</x:v>
      </x:c>
      <x:c r="B76" s="27" t="str">
        <x:v>2024-B</x:v>
      </x:c>
      <x:c r="C76" s="27" t="str">
        <x:v>2026-03</x:v>
      </x:c>
      <x:c r="D76" s="27" t="str">
        <x:v>2026-03-31</x:v>
      </x:c>
      <x:c r="E76" s="27" t="str">
        <x:v>2026-03-01</x:v>
      </x:c>
      <x:c r="F76" s="27" t="str">
        <x:v>2026-03-31</x:v>
      </x:c>
      <x:c r="G76" s="28" t="n">
        <x:v>31</x:v>
      </x:c>
      <x:c r="H76" s="27" t="str">
        <x:v>2026-04-28</x:v>
      </x:c>
      <x:c r="I76" s="27" t="str">
        <x:v>0001193125-26-184685</x:v>
      </x:c>
      <x:c r="J76" s="27" t="str">
        <x:v>0001193125-26-184674</x:v>
      </x:c>
      <x:c r="K76" s="29" t="n">
        <x:v>460538.37</x:v>
      </x:c>
      <x:c r="L76" s="29" t="n">
        <x:v>-63602.36</x:v>
      </x:c>
      <x:c r="M76" s="29" t="n">
        <x:v>-357103.27</x:v>
      </x:c>
      <x:c r="N76" s="29" t="n">
        <x:v>420705.63</x:v>
      </x:c>
      <x:c r="O76" s="29" t="n">
        <x:v>491828.3</x:v>
      </x:c>
      <x:c r="P76" s="29" t="n">
        <x:v>0</x:v>
      </x:c>
      <x:c r="Q76" s="29" t="n">
        <x:v>71122.67</x:v>
      </x:c>
      <x:c r="R76" s="29" t="n">
        <x:v>0</x:v>
      </x:c>
      <x:c r="S76" s="29" t="n">
        <x:v>0</x:v>
      </x:c>
      <x:c r="T76" s="27" t="str">
        <x:v>PASS</x:v>
      </x:c>
      <x:c r="U76" s="27" t="str">
        <x:v>PASS</x:v>
      </x:c>
      <x:c r="V76" s="29" t="n">
        <x:v>39832.74</x:v>
      </x:c>
      <x:c r="W76" s="27" t="str">
        <x:v>UNRESOLVED</x:v>
      </x:c>
      <x:c r="X76" s="27" t="str">
        <x:v>Residual retained; public certificate sources do not attribute this ABS-EE aggregate delta to a timing, population, correction, or classification component.</x:v>
      </x:c>
      <x:c r="Y76" s="27" t="str">
        <x:v>https://www.sec.gov/Archives/edgar/data/2012786/000119312526184674/d126673dex991.htm</x:v>
      </x:c>
      <x:c r="Z76" s="27" t="str">
        <x:v>2c423db18caef2a42005e4ad12f3c8b212448eb05590c2e97218c48925108ef6</x:v>
      </x:c>
    </x:row>
    <x:row r="77">
      <x:c r="A77" s="27" t="str">
        <x:v>TOYOTA-2024-B-2026-04</x:v>
      </x:c>
      <x:c r="B77" s="27" t="str">
        <x:v>2024-B</x:v>
      </x:c>
      <x:c r="C77" s="27" t="str">
        <x:v>2026-04</x:v>
      </x:c>
      <x:c r="D77" s="27" t="str">
        <x:v>2026-04-30</x:v>
      </x:c>
      <x:c r="E77" s="27" t="str">
        <x:v>2026-04-01</x:v>
      </x:c>
      <x:c r="F77" s="27" t="str">
        <x:v>2026-04-30</x:v>
      </x:c>
      <x:c r="G77" s="28" t="n">
        <x:v>30</x:v>
      </x:c>
      <x:c r="H77" s="27" t="str">
        <x:v>2026-05-27</x:v>
      </x:c>
      <x:c r="I77" s="27" t="str">
        <x:v>0001193125-26-240863</x:v>
      </x:c>
      <x:c r="J77" s="27" t="str">
        <x:v>0001193125-26-240854</x:v>
      </x:c>
      <x:c r="K77" s="29" t="n">
        <x:v>231817.91</x:v>
      </x:c>
      <x:c r="L77" s="29" t="n">
        <x:v>-2425.18</x:v>
      </x:c>
      <x:c r="M77" s="29" t="n">
        <x:v>-200736.39</x:v>
      </x:c>
      <x:c r="N77" s="29" t="n">
        <x:v>203161.57</x:v>
      </x:c>
      <x:c r="O77" s="29" t="n">
        <x:v>413144.89</x:v>
      </x:c>
      <x:c r="P77" s="29" t="n">
        <x:v>0</x:v>
      </x:c>
      <x:c r="Q77" s="29" t="n">
        <x:v>209983.32</x:v>
      </x:c>
      <x:c r="R77" s="29" t="n">
        <x:v>0</x:v>
      </x:c>
      <x:c r="S77" s="29" t="n">
        <x:v>0</x:v>
      </x:c>
      <x:c r="T77" s="27" t="str">
        <x:v>PASS</x:v>
      </x:c>
      <x:c r="U77" s="27" t="str">
        <x:v>PASS</x:v>
      </x:c>
      <x:c r="V77" s="29" t="n">
        <x:v>28656.34</x:v>
      </x:c>
      <x:c r="W77" s="27" t="str">
        <x:v>UNRESOLVED</x:v>
      </x:c>
      <x:c r="X77" s="27" t="str">
        <x:v>Residual retained; public certificate sources do not attribute this ABS-EE aggregate delta to a timing, population, correction, or classification component.</x:v>
      </x:c>
      <x:c r="Y77" s="27" t="str">
        <x:v>https://www.sec.gov/Archives/edgar/data/2012786/000119312526240854/d68275dex991.htm</x:v>
      </x:c>
      <x:c r="Z77" s="27" t="str">
        <x:v>56c0b78532a3a976a973af719685dfb7b9107eb849c63743d5d83281c6fe1188</x:v>
      </x:c>
    </x:row>
    <x:row r="78">
      <x:c r="A78" s="27" t="str">
        <x:v>TOYOTA-2024-B-2026-05</x:v>
      </x:c>
      <x:c r="B78" s="27" t="str">
        <x:v>2024-B</x:v>
      </x:c>
      <x:c r="C78" s="27" t="str">
        <x:v>2026-05</x:v>
      </x:c>
      <x:c r="D78" s="27" t="str">
        <x:v>2026-05-31</x:v>
      </x:c>
      <x:c r="E78" s="27" t="str">
        <x:v>2026-05-01</x:v>
      </x:c>
      <x:c r="F78" s="27" t="str">
        <x:v>2026-05-31</x:v>
      </x:c>
      <x:c r="G78" s="28" t="n">
        <x:v>31</x:v>
      </x:c>
      <x:c r="H78" s="27" t="str">
        <x:v>2026-06-26</x:v>
      </x:c>
      <x:c r="I78" s="27" t="str">
        <x:v>0001193125-26-284301</x:v>
      </x:c>
      <x:c r="J78" s="27" t="str">
        <x:v>0001193125-26-284297</x:v>
      </x:c>
      <x:c r="K78" s="29" t="n">
        <x:v>377807.51</x:v>
      </x:c>
      <x:c r="L78" s="29" t="n">
        <x:v>-37843.81</x:v>
      </x:c>
      <x:c r="M78" s="29" t="n">
        <x:v>-307229</x:v>
      </x:c>
      <x:c r="N78" s="29" t="n">
        <x:v>345072.81</x:v>
      </x:c>
      <x:c r="O78" s="29" t="n">
        <x:v>410647.47</x:v>
      </x:c>
      <x:c r="P78" s="29" t="n">
        <x:v>0</x:v>
      </x:c>
      <x:c r="Q78" s="29" t="n">
        <x:v>65574.66</x:v>
      </x:c>
      <x:c r="R78" s="29" t="n">
        <x:v>0</x:v>
      </x:c>
      <x:c r="S78" s="29" t="n">
        <x:v>0</x:v>
      </x:c>
      <x:c r="T78" s="27" t="str">
        <x:v>PASS</x:v>
      </x:c>
      <x:c r="U78" s="27" t="str">
        <x:v>PASS</x:v>
      </x:c>
      <x:c r="V78" s="29" t="n">
        <x:v>32734.7</x:v>
      </x:c>
      <x:c r="W78" s="27" t="str">
        <x:v>UNRESOLVED</x:v>
      </x:c>
      <x:c r="X78" s="27" t="str">
        <x:v>Residual retained; public certificate sources do not attribute this ABS-EE aggregate delta to a timing, population, correction, or classification component.</x:v>
      </x:c>
      <x:c r="Y78" s="27" t="str">
        <x:v>https://www.sec.gov/Archives/edgar/data/2012786/000119312526284297/d942025dex991.htm</x:v>
      </x:c>
      <x:c r="Z78" s="27" t="str">
        <x:v>854ea98fe4bb7422d32c36bf2a88956075d8774933aac2a7983f6f55a99dbfd6</x:v>
      </x:c>
    </x:row>
    <x:row r="79">
      <x:c r="A79" s="27" t="str">
        <x:v>TOYOTA-2024-B-2026-06</x:v>
      </x:c>
      <x:c r="B79" s="27" t="str">
        <x:v>2024-B</x:v>
      </x:c>
      <x:c r="C79" s="27" t="str">
        <x:v>2026-06</x:v>
      </x:c>
      <x:c r="D79" s="27" t="str">
        <x:v>2026-06-30</x:v>
      </x:c>
      <x:c r="E79" s="27" t="str">
        <x:v>2026-06-01</x:v>
      </x:c>
      <x:c r="F79" s="27" t="str">
        <x:v>2026-06-30</x:v>
      </x:c>
      <x:c r="G79" s="28" t="n">
        <x:v>30</x:v>
      </x:c>
      <x:c r="H79" s="27" t="str">
        <x:v>2026-07-29</x:v>
      </x:c>
      <x:c r="I79" s="27" t="str">
        <x:v>0001193125-26-322515</x:v>
      </x:c>
      <x:c r="J79" s="27" t="str">
        <x:v>0001193125-26-322496</x:v>
      </x:c>
      <x:c r="K79" s="29" t="n">
        <x:v>343616.4</x:v>
      </x:c>
      <x:c r="L79" s="29" t="n">
        <x:v>-60947.04</x:v>
      </x:c>
      <x:c r="M79" s="29" t="n">
        <x:v>-242534.6</x:v>
      </x:c>
      <x:c r="N79" s="29" t="n">
        <x:v>303481.64</x:v>
      </x:c>
      <x:c r="O79" s="29" t="n">
        <x:v>426434.39</x:v>
      </x:c>
      <x:c r="P79" s="29" t="n">
        <x:v>0</x:v>
      </x:c>
      <x:c r="Q79" s="29" t="n">
        <x:v>122952.75</x:v>
      </x:c>
      <x:c r="R79" s="29" t="n">
        <x:v>0</x:v>
      </x:c>
      <x:c r="S79" s="29" t="n">
        <x:v>0</x:v>
      </x:c>
      <x:c r="T79" s="27" t="str">
        <x:v>PASS</x:v>
      </x:c>
      <x:c r="U79" s="27" t="str">
        <x:v>PASS</x:v>
      </x:c>
      <x:c r="V79" s="29" t="n">
        <x:v>40134.76</x:v>
      </x:c>
      <x:c r="W79" s="27" t="str">
        <x:v>UNRESOLVED</x:v>
      </x:c>
      <x:c r="X79" s="27" t="str">
        <x:v>Residual retained; public certificate sources do not attribute this ABS-EE aggregate delta to a timing, population, correction, or classification component.</x:v>
      </x:c>
      <x:c r="Y79" s="27" t="str">
        <x:v>https://www.sec.gov/Archives/edgar/data/2012786/000119312526322496/d111600dex991.htm</x:v>
      </x:c>
      <x:c r="Z79" s="27" t="str">
        <x:v>8ca58abca257669a720f2a9f1207897106f3fe6f72f82fa3d419d43809954834</x:v>
      </x:c>
    </x:row>
    <x:row r="80">
      <x:c r="A80" s="27" t="str">
        <x:v>TOYOTA-2024-B-2026-07</x:v>
      </x:c>
      <x:c r="B80" s="27" t="str">
        <x:v>2024-B</x:v>
      </x:c>
      <x:c r="C80" s="27" t="str">
        <x:v>2026-07</x:v>
      </x:c>
      <x:c r="D80" s="27" t="str">
        <x:v>2026-07-31</x:v>
      </x:c>
      <x:c r="E80" s="27" t="str">
        <x:v>2026-07-01</x:v>
      </x:c>
      <x:c r="F80" s="27" t="str">
        <x:v>2026-07-31</x:v>
      </x:c>
      <x:c r="G80" s="28" t="n">
        <x:v>31</x:v>
      </x:c>
      <x:c r="H80" s="27" t="str">
        <x:v>2026-08-27</x:v>
      </x:c>
      <x:c r="I80" s="27" t="str">
        <x:v>0001193125-26-369950</x:v>
      </x:c>
      <x:c r="J80" s="27" t="str">
        <x:v>0001193125-26-369942</x:v>
      </x:c>
      <x:c r="K80" s="29" t="n">
        <x:v>203651.03</x:v>
      </x:c>
      <x:c r="L80" s="29" t="n">
        <x:v>-54530.79</x:v>
      </x:c>
      <x:c r="M80" s="29" t="n">
        <x:v>-108646.28</x:v>
      </x:c>
      <x:c r="N80" s="29" t="n">
        <x:v>163177.07</x:v>
      </x:c>
      <x:c r="O80" s="29" t="n">
        <x:v>567882.76</x:v>
      </x:c>
      <x:c r="P80" s="29" t="n">
        <x:v>0</x:v>
      </x:c>
      <x:c r="Q80" s="29" t="n">
        <x:v>404705.69</x:v>
      </x:c>
      <x:c r="R80" s="29" t="n">
        <x:v>0</x:v>
      </x:c>
      <x:c r="S80" s="29" t="n">
        <x:v>0</x:v>
      </x:c>
      <x:c r="T80" s="27" t="str">
        <x:v>PASS</x:v>
      </x:c>
      <x:c r="U80" s="27" t="str">
        <x:v>PASS</x:v>
      </x:c>
      <x:c r="V80" s="29" t="n">
        <x:v>40473.96</x:v>
      </x:c>
      <x:c r="W80" s="27" t="str">
        <x:v>UNRESOLVED</x:v>
      </x:c>
      <x:c r="X80" s="27" t="str">
        <x:v>Residual retained; public certificate sources do not attribute this ABS-EE aggregate delta to a timing, population, correction, or classification component.</x:v>
      </x:c>
      <x:c r="Y80" s="27" t="str">
        <x:v>https://www.sec.gov/Archives/edgar/data/2012786/000119312526369942/d119592dex991.htm</x:v>
      </x:c>
      <x:c r="Z80" s="27" t="str">
        <x:v>a5ff7991698fe8a43381798dc3cafe66acda22153339d38e12b9fb3092fd5e07</x:v>
      </x:c>
    </x:row>
    <x:row r="81">
      <x:c r="A81" s="27" t="str">
        <x:v>TOYOTA-2024-B-2026-08</x:v>
      </x:c>
      <x:c r="B81" s="27" t="str">
        <x:v>2024-B</x:v>
      </x:c>
      <x:c r="C81" s="27" t="str">
        <x:v>2026-08</x:v>
      </x:c>
      <x:c r="D81" s="27" t="str">
        <x:v>2026-08-31</x:v>
      </x:c>
      <x:c r="E81" s="27" t="str">
        <x:v>2026-08-01</x:v>
      </x:c>
      <x:c r="F81" s="27" t="str">
        <x:v>2026-08-31</x:v>
      </x:c>
      <x:c r="G81" s="28" t="n">
        <x:v>31</x:v>
      </x:c>
      <x:c r="H81" s="27" t="str">
        <x:v>2026-09-28</x:v>
      </x:c>
      <x:c r="I81" s="27" t="str">
        <x:v>0001193125-26-403967</x:v>
      </x:c>
      <x:c r="J81" s="27" t="str">
        <x:v>0001193125-26-403955</x:v>
      </x:c>
      <x:c r="K81" s="29" t="n">
        <x:v>343258.32</x:v>
      </x:c>
      <x:c r="L81" s="29" t="n">
        <x:v>-26788.13</x:v>
      </x:c>
      <x:c r="M81" s="29" t="n">
        <x:v>-272679.01</x:v>
      </x:c>
      <x:c r="N81" s="29" t="n">
        <x:v>299467.14</x:v>
      </x:c>
      <x:c r="O81" s="29" t="n">
        <x:v>428340.38</x:v>
      </x:c>
      <x:c r="P81" s="29" t="n">
        <x:v>0</x:v>
      </x:c>
      <x:c r="Q81" s="29" t="n">
        <x:v>128873.24</x:v>
      </x:c>
      <x:c r="R81" s="29" t="n">
        <x:v>0</x:v>
      </x:c>
      <x:c r="S81" s="29" t="n">
        <x:v>0</x:v>
      </x:c>
      <x:c r="T81" s="27" t="str">
        <x:v>PASS</x:v>
      </x:c>
      <x:c r="U81" s="27" t="str">
        <x:v>PASS</x:v>
      </x:c>
      <x:c r="V81" s="29" t="n">
        <x:v>43791.18</x:v>
      </x:c>
      <x:c r="W81" s="27" t="str">
        <x:v>UNRESOLVED</x:v>
      </x:c>
      <x:c r="X81" s="27" t="str">
        <x:v>Residual retained; public certificate sources do not attribute this ABS-EE aggregate delta to a timing, population, correction, or classification component.</x:v>
      </x:c>
      <x:c r="Y81" s="27" t="str">
        <x:v>https://www.sec.gov/Archives/edgar/data/2012786/000119312526403955/d31321dex991.htm</x:v>
      </x:c>
      <x:c r="Z81" s="27" t="str">
        <x:v>44db9377014db4eadebcbd33ecdc62cac41948e567c86d6ebf2d54bfc0a83901</x:v>
      </x:c>
    </x:row>
  </x:sheetData>
  <x:pageMargins left="0.7" right="0.7" top="0.75" bottom="0.75" header="0.3" footer="0.3"/>
  <x:tableParts count="1">
    <x:tablePart xmlns:r="http://schemas.openxmlformats.org/officeDocument/2006/relationships" r:id="R4986b069aff4459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18" hidden="0" customWidth="1"/>
  </x:cols>
  <x:sheetData>
    <x:row r="1" ht="28" customHeight="1">
      <x:c r="A1" s="31" t="str">
        <x:v>Topic</x:v>
      </x:c>
      <x:c r="B1" s="31" t="str">
        <x:v>Definition / evidence</x:v>
      </x:c>
    </x:row>
    <x:row r="2" ht="62" customHeight="1">
      <x:c r="A2" s="33" t="str">
        <x:v>Scope</x:v>
      </x:c>
      <x:c r="B2" s="27" t="str">
        <x:v>Toyota Auto Receivables 2022-B (51 periods) and 2024-B (29 periods), 80 period rows total. Public output contains only monthly aggregates; no contract or asset identifiers.</x:v>
      </x:c>
    </x:row>
    <x:row r="3" ht="62" customHeight="1">
      <x:c r="A3" s="33" t="str">
        <x:v>ABS-EE recoveredAmount</x:v>
      </x:c>
      <x:c r="B3" s="27" t="str">
        <x:v>Monthly sum from the audited ABS-EE EX-102 source. EX-103 defines recoveredAmount as an amount recovered during the period on a defaulted receivable, including repossession proceeds. This measure is not assumed to be a one-to-one certificate row.</x:v>
      </x:c>
    </x:row>
    <x:row r="4" ht="62" customHeight="1">
      <x:c r="A4" s="33" t="str">
        <x:v>Certificate aggregate proceeds</x:v>
      </x:c>
      <x:c r="B4" s="27" t="str">
        <x:v>Negate the sum of the two signed certificate rows: Net Liquidation Proceeds Received During the Collection Period and Recoveries on Previously Liquidated Contracts. Exact identity is checked independently for each period.</x:v>
      </x:c>
    </x:row>
    <x:row r="5" ht="62" customHeight="1">
      <x:c r="A5" s="33" t="str">
        <x:v>Certificate net credit losses</x:v>
      </x:c>
      <x:c r="B5" s="27" t="str">
        <x:v>Gross principal of liquidated receivables + signed principal of previously charged-off repurchased contracts + both signed proceeds rows. Exact identity is checked independently for each period.</x:v>
      </x:c>
    </x:row>
    <x:row r="6" ht="62" customHeight="1">
      <x:c r="A6" s="33" t="str">
        <x:v>Cross-source residual</x:v>
      </x:c>
      <x:c r="B6" s="27" t="str">
        <x:v>ABS-EE recoveredAmount aggregate − certificate Aggregate Net Liquidation Proceeds. A zero is a tie; any nonzero amount stays in its source period and remains unresolved unless evidence establishes the cause.</x:v>
      </x:c>
    </x:row>
    <x:row r="7" ht="62" customHeight="1">
      <x:c r="A7" s="33" t="str">
        <x:v>Observed result</x:v>
      </x:c>
      <x:c r="B7" s="27" t="str">
        <x:v>80/80 certificate identities pass; 3/80 ABS-EE-to-certificate recovery amounts tie; 77/80 remain unresolved. Aggregate residual is +USD 3,823,205.14.</x:v>
      </x:c>
    </x:row>
    <x:row r="8" ht="62" customHeight="1">
      <x:c r="A8" s="33" t="str">
        <x:v>2022-B subtotal</x:v>
      </x:c>
      <x:c r="B8" s="27" t="str">
        <x:v>51 periods; 2 tied, 49 unresolved; ABS-EE USD 16,414,508.06; certificate USD 14,355,861.00; residual +USD 2,058,647.06.</x:v>
      </x:c>
    </x:row>
    <x:row r="9" ht="62" customHeight="1">
      <x:c r="A9" s="33" t="str">
        <x:v>2024-B subtotal</x:v>
      </x:c>
      <x:c r="B9" s="27" t="str">
        <x:v>29 periods; 1 tied, 28 unresolved; ABS-EE USD 13,517,164.16; certificate USD 11,752,606.08; residual +USD 1,764,558.08.</x:v>
      </x:c>
    </x:row>
    <x:row r="10" ht="62" customHeight="1">
      <x:c r="A10" s="33" t="str">
        <x:v>First-period duration</x:v>
      </x:c>
      <x:c r="B10" s="27" t="str">
        <x:v>Both first reporting windows run March 1–April 30, 61 calendar days. Period start/end are carried explicitly; month label alone is insufficient for period alignment.</x:v>
      </x:c>
    </x:row>
    <x:row r="11" ht="62" customHeight="1">
      <x:c r="A11" s="33" t="str">
        <x:v>Source: 2022-B initial certificate</x:v>
      </x:c>
      <x:c r="B11" s="27" t="str">
        <x:v>SEC EX-99.1, collection period and component rows: https://www.sec.gov/Archives/edgar/data/1914281/000095013122002459/d346874dex991.htm</x:v>
      </x:c>
    </x:row>
    <x:row r="12" ht="62" customHeight="1">
      <x:c r="A12" s="33" t="str">
        <x:v>Source: 2024-B certificate example</x:v>
      </x:c>
      <x:c r="B12" s="27" t="str">
        <x:v>SEC EX-99.1 for 2024-B April 2025: https://www.sec.gov/Archives/edgar/data/2012786/000095013125002267/d923232dex991.htm</x:v>
      </x:c>
    </x:row>
    <x:row r="13" ht="62" customHeight="1">
      <x:c r="A13" s="33" t="str">
        <x:v>Source: later 2024-B certificate</x:v>
      </x:c>
      <x:c r="B13" s="27" t="str">
        <x:v>SEC EX-99.1, 2026 report: https://www.sec.gov/Archives/edgar/data/2012786/000119312526240854/d68275dex991.htm</x:v>
      </x:c>
    </x:row>
    <x:row r="14" ht="62" customHeight="1">
      <x:c r="A14" s="33" t="str">
        <x:v>Audit lineage</x:v>
      </x:c>
      <x:c r="B14" s="27" t="str">
        <x:v>The accompanying public CSV and receipt bind both audit outputs and source acquisition receipts by SHA-256. Regenerate with scripts/build_toyota_recovery_components_ledger.py using --workspace-root &lt;private CreditAtlas workspace on D:&gt;.</x:v>
      </x:c>
    </x:row>
    <x:row r="15" ht="62" customHeight="1">
      <x:c r="A15" s="33" t="str">
        <x:v>Use limits</x:v>
      </x:c>
      <x:c r="B15" s="27" t="str">
        <x:v>No residual cause is proven. Do not interpret the residual as LGD, net loss, fraud, data error, or forecast; do not double count repossession proceeds; do not fill missing values or force a tie. The two trusts share an issuer/servicer family and are not independent issuer validation.</x:v>
      </x:c>
    </x:row>
  </x:sheetData>
  <x:pageMargins left="0.7" right="0.7" top="0.75" bottom="0.75" header="0.3" footer="0.3"/>
</x:worksheet>
</file>