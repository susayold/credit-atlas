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781a6bcfa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" sheetId="1" r:id="R6869e96fa8c8424d"/>
    <x:sheet xmlns:r="http://schemas.openxmlformats.org/officeDocument/2006/relationships" name="50 yeu cau" sheetId="2" r:id="R02a9638b2c6f420c"/>
    <x:sheet xmlns:r="http://schemas.openxmlformats.org/officeDocument/2006/relationships" name="Du lieu" sheetId="3" r:id="R28076d0c51b946b2"/>
    <x:sheet xmlns:r="http://schemas.openxmlformats.org/officeDocument/2006/relationships" name="Phuong phap" sheetId="4" r:id="R88247f5426d3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447"/>
      <x:name val="Arial"/>
    </x:font>
    <x:font>
      <x:b/>
      <x:sz val="16"/>
      <x:color rgb="FF24384E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  <x:font>
      <x:sz val="12"/>
      <x:color theme="1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24384E"/>
      </x:patternFill>
    </x:fill>
    <x:fill>
      <x:patternFill patternType="solid">
        <x:fgColor rgb="FFF1F4F8"/>
      </x:patternFill>
    </x:fill>
    <x:fill>
      <x:patternFill patternType="solid">
        <x:fgColor rgb="FFFFF4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84E"/>
      </x:bottom>
      <x:diagonal/>
    </x:border>
  </x:borders>
  <x:cellStyleXfs count="2">
    <x:xf numFmtId="0" fontId="0" fillId="0" borderId="0"/>
    <x:xf numFmtId="0" fontId="5" fillId="0" borderId="0"/>
  </x:cellStyleXfs>
  <x:cellXfs count="29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2" borderId="0" xfId="0" applyAlignment="1">
      <x:alignment vertical="center"/>
    </x:xf>
    <x:xf numFmtId="0" fontId="3" fillId="2" borderId="0" xfId="0" applyAlignment="1">
      <x:alignment vertical="center"/>
    </x:xf>
    <x:xf numFmtId="0" fontId="3" fillId="2" borderId="0" xfId="0" applyAlignment="1">
      <x:alignment vertical="center" wrapText="1"/>
    </x:xf>
    <x:xf numFmtId="0" fontId="3" fillId="2" borderId="0" xfId="0" applyAlignment="1">
      <x:alignment horizontal="center" vertical="center" wrapText="1"/>
    </x:xf>
    <x:xf numFmtId="0" fontId="1" fillId="0" borderId="0" xfId="0" applyAlignment="1">
      <x:alignment vertical="center" wrapText="1"/>
    </x:xf>
    <x:xf numFmtId="0" fontId="1" fillId="3" borderId="0" xfId="0" applyAlignment="1">
      <x:alignment vertical="center" wrapText="1"/>
    </x:xf>
    <x:xf numFmtId="1" fontId="1" fillId="0" borderId="0" xfId="0" applyAlignment="1">
      <x:alignment vertical="center" wrapText="1"/>
    </x:xf>
    <x:xf numFmtId="1" fontId="1" fillId="3" borderId="0" xfId="0" applyAlignment="1">
      <x:alignment vertical="center" wrapText="1"/>
    </x:xf>
    <x:xf numFmtId="0" fontId="3" fillId="2" borderId="0" xfId="0" applyAlignment="1">
      <x:alignment horizontal="center" vertical="center"/>
    </x:xf>
    <x:xf numFmtId="0" fontId="4" fillId="0" borderId="0" xfId="0" applyAlignment="1">
      <x:alignment vertical="center"/>
    </x:xf>
    <x:xf numFmtId="9" fontId="1" fillId="0" borderId="0" xfId="0" applyAlignment="1">
      <x:alignment vertical="center"/>
    </x:xf>
    <x:xf numFmtId="9" fontId="4" fillId="0" borderId="0" xfId="0" applyAlignment="1">
      <x:alignment vertical="center"/>
    </x:xf>
    <x:xf numFmtId="0" fontId="1" fillId="4" borderId="0" xfId="0" applyAlignment="1">
      <x:alignment vertical="center" wrapText="1"/>
    </x:xf>
    <x:xf numFmtId="3" fontId="1" fillId="0" borderId="0" xfId="0" applyAlignment="1">
      <x:alignment vertical="center" wrapText="1"/>
    </x:xf>
    <x:xf numFmtId="3" fontId="1" fillId="3" borderId="0" xfId="0" applyAlignment="1">
      <x:alignment vertical="center" wrapText="1"/>
    </x:xf>
    <x:xf numFmtId="9" fontId="1" fillId="0" borderId="0" xfId="0" applyAlignment="1">
      <x:alignment vertical="center"/>
    </x:xf>
    <x:xf numFmtId="9" fontId="4" fillId="0" borderId="0" xfId="0" applyAlignment="1">
      <x:alignment vertical="center"/>
    </x:xf>
    <x:xf numFmtId="1" fontId="1" fillId="0" borderId="0" xfId="0" applyAlignment="1">
      <x:alignment vertical="center" wrapText="1"/>
    </x:xf>
    <x:xf numFmtId="1" fontId="1" fillId="3" borderId="0" xfId="0" applyAlignment="1">
      <x:alignment vertical="center" wrapText="1"/>
    </x:xf>
    <x:xf numFmtId="3" fontId="1" fillId="0" borderId="0" xfId="0" applyAlignment="1">
      <x:alignment vertical="center" wrapText="1"/>
    </x:xf>
    <x:xf numFmtId="3" fontId="1" fillId="3" borderId="0" xfId="0" applyAlignment="1">
      <x:alignment vertical="center" wrapText="1"/>
    </x:xf>
    <x:xf numFmtId="0" fontId="5" fillId="0" borderId="0" xfId="1"/>
    <x:xf numFmtId="0" fontId="0" fillId="0" borderId="0" xfId="0" applyAlignment="1">
      <x:alignment vertical="top" wrapText="1"/>
    </x:xf>
    <x:xf numFmtId="0" fontId="5" fillId="0" borderId="0" xfId="1" applyAlignment="1">
      <x:alignment vertical="top" wrapText="1"/>
    </x:xf>
  </x:cellXfs>
  <x:cellStyles count="2">
    <x:cellStyle name="Normal" xfId="0"/>
    <x:cellStyle name="Hyperlink" xfId="1"/>
  </x:cellStyles>
  <x:dxfs count="1">
    <x:dxf>
      <x:font>
        <x:b/>
        <x:color rgb="FF9C5700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468aa1255463f" /><Relationship Type="http://schemas.openxmlformats.org/officeDocument/2006/relationships/theme" Target="/xl/theme/theme1.xml" Id="R39b52cfaba65449a" /><Relationship Type="http://schemas.openxmlformats.org/officeDocument/2006/relationships/sharedStrings" Target="/xl/sharedStrings.xml" Id="R6824482dbaf64aee" /><Relationship Type="http://schemas.openxmlformats.org/officeDocument/2006/relationships/worksheet" Target="/xl/worksheets/sheet1.xml" Id="R6869e96fa8c8424d" /><Relationship Type="http://schemas.openxmlformats.org/officeDocument/2006/relationships/worksheet" Target="/xl/worksheets/sheet2.xml" Id="R02a9638b2c6f420c" /><Relationship Type="http://schemas.openxmlformats.org/officeDocument/2006/relationships/worksheet" Target="/xl/worksheets/sheet3.xml" Id="R28076d0c51b946b2" /><Relationship Type="http://schemas.openxmlformats.org/officeDocument/2006/relationships/worksheet" Target="/xl/worksheets/sheet4.xml" Id="R88247f5426d345eb" /></Relationships>
</file>

<file path=xl/tables/table1.xml><?xml version="1.0" encoding="utf-8"?>
<x:table xmlns:x="http://schemas.openxmlformats.org/spreadsheetml/2006/main" id="1" name="NextTasks" displayName="NextTasks" ref="A17:G41" headerRowCount="1" totalsRowCount="0" totalsRowShown="0">
  <x:tableColumns count="7">
    <x:tableColumn id="1" name="ID"/>
    <x:tableColumn id="2" name="Ưu tiên / phạm vi"/>
    <x:tableColumn id="3" name="Công việc và đầu ra"/>
    <x:tableColumn id="4" name="Phụ thuộc"/>
    <x:tableColumn id="5" name="Điều kiện đóng"/>
    <x:tableColumn id="6" name="Trạng thái"/>
    <x:tableColumn id="7" name="Ghi chú tiến đ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" displayName="Requirements" ref="A5:G55" headerRowCount="1" totalsRowCount="0" totalsRowShown="0">
  <x:tableColumns count="7">
    <x:tableColumn id="1" name="ID"/>
    <x:tableColumn id="2" name="Workspace"/>
    <x:tableColumn id="3" name="Chức năng"/>
    <x:tableColumn id="4" name="Đạt (1/0)"/>
    <x:tableColumn id="5" name="Điều kiện nghiệm thu"/>
    <x:tableColumn id="6" name="Khoảng trống / hướng tiếp"/>
    <x:tableColumn id="7" name="Nguồn 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Inventory" displayName="DataInventory" ref="A5:G34" headerRowCount="1" totalsRowCount="0" totalsRowShown="0">
  <x:tableColumns count="7">
    <x:tableColumn id="1" name="Nguồn"/>
    <x:tableColumn id="2" name="Số lượng"/>
    <x:tableColumn id="3" name="Đơn vị đếm"/>
    <x:tableColumn id="4" name="Phạm vi thời gian"/>
    <x:tableColumn id="5" name="Phù hợp cho"/>
    <x:tableColumn id="6" name="Giới hạn / việc tiếp"/>
    <x:tableColumn id="7" name="Báo cáo nguồ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Types" displayName="MethodTypes" ref="A5:C12" headerRowCount="1" totalsRowCount="0" totalsRowShown="0">
  <x:tableColumns count="3">
    <x:tableColumn id="1" name="Loại giá trị"/>
    <x:tableColumn id="2" name="Ví dụ hiện có"/>
    <x:tableColumn id="3" name="Cách sử dụng và bằng chứng cầ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48e26ced734d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21244e142449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ithub.com/susayold/credit-atlas/blob/main/docs/TREASURY_HAMP_DATA_REVIEW_VI.md" TargetMode="External" Id="R33f1780029ea41d7" /><Relationship Type="http://schemas.openxmlformats.org/officeDocument/2006/relationships/table" Target="/xl/tables/table3.xml" Id="R41661eaa804b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f7107e48494b69" /></Relationships>
</file>

<file path=xl/worksheets/sheet1.xml><?xml version="1.0" encoding="utf-8"?>
<x:worksheet xmlns:x="http://schemas.openxmlformats.org/spreadsheetml/2006/main">
  <x:sheetPr>
    <x:tabColor rgb="FF24384E"/>
  </x:sheetPr>
  <x:sheetViews>
    <x:sheetView showGridLines="0" workbookViewId="0">
      <x:pane ySplit="17" topLeftCell="A18" activePane="bottomLeft" state="frozen"/>
    </x:sheetView>
  </x:sheetViews>
  <x:sheetFormatPr baseColWidth="8" defaultRowHeight="15"/>
  <x:cols>
    <x:col min="1" max="1" width="14" customWidth="1"/>
    <x:col min="2" max="2" width="22" customWidth="1"/>
    <x:col min="3" max="3" width="58" customWidth="1"/>
    <x:col min="4" max="4" width="34" customWidth="1"/>
    <x:col min="5" max="5" width="65" customWidth="1"/>
    <x:col min="6" max="6" width="24" customWidth="1"/>
    <x:col min="7" max="7" width="36" customWidth="1"/>
  </x:cols>
  <x:sheetData>
    <x:row r="1" ht="24" customHeight="1">
      <x:c r="A1" s="2" t="n"/>
      <x:c r="B1" s="2" t="n"/>
      <x:c r="C1" s="2" t="n"/>
      <x:c r="D1" s="2" t="n"/>
      <x:c r="E1" s="2" t="n"/>
      <x:c r="F1" s="2" t="n"/>
      <x:c r="G1" s="2" t="n"/>
    </x:row>
    <x:row r="2" ht="24" customHeight="1">
      <x:c r="A2" s="3" t="inlineStr">
        <x:is>
          <x:t xml:space="preserve">CreditAtlas — kế hoạch tiếp theo</x:t>
        </x:is>
      </x:c>
      <x:c r="B2" s="2" t="n"/>
      <x:c r="C2" s="2" t="n"/>
      <x:c r="D2" s="2" t="n"/>
      <x:c r="E2" s="2" t="n"/>
      <x:c r="F2" s="2" t="n"/>
      <x:c r="G2" s="2" t="n"/>
    </x:row>
    <x:row r="3" ht="24" customHeight="1">
      <x:c r="A3" s="4" t="inlineStr">
        <x:is>
          <x:t xml:space="preserve">Checkpoint 17/10/2026. Tỷ lệ của toàn P1–P5, không phải phần trăm D01 hoặc production readiness.</x:t>
        </x:is>
      </x:c>
      <x:c r="B3" s="4" t="n"/>
      <x:c r="C3" s="4" t="n"/>
      <x:c r="D3" s="4" t="n"/>
      <x:c r="E3" s="4" t="n"/>
      <x:c r="F3" s="4" t="n"/>
      <x:c r="G3" s="4" t="n"/>
    </x:row>
    <x:row r="4" ht="24" customHeight="1">
      <x:c r="A4" s="2" t="n"/>
      <x:c r="B4" s="2" t="n"/>
      <x:c r="C4" s="2" t="n"/>
      <x:c r="D4" s="2" t="n"/>
      <x:c r="E4" s="2" t="n"/>
      <x:c r="F4" s="2" t="n"/>
      <x:c r="G4" s="2" t="n"/>
    </x:row>
    <x:row r="5" ht="24" customHeight="1">
      <x:c r="A5" s="13" t="inlineStr">
        <x:is>
          <x:t xml:space="preserve">Workspace</x:t>
        </x:is>
      </x:c>
      <x:c r="B5" s="13" t="inlineStr">
        <x:is>
          <x:t xml:space="preserve">Đạt</x:t>
        </x:is>
      </x:c>
      <x:c r="C5" s="13" t="inlineStr">
        <x:is>
          <x:t xml:space="preserve">Tổng yêu cầu</x:t>
        </x:is>
      </x:c>
      <x:c r="D5" s="13" t="inlineStr">
        <x:is>
          <x:t xml:space="preserve">Tỷ lệ</x:t>
        </x:is>
      </x:c>
      <x:c r="E5" s="2" t="n"/>
      <x:c r="F5" s="2" t="n"/>
      <x:c r="G5" s="2" t="n"/>
    </x:row>
    <x:row r="6" ht="24" customHeight="1">
      <x:c r="A6" s="2" t="inlineStr">
        <x:is>
          <x:t xml:space="preserve">P1</x:t>
        </x:is>
      </x:c>
      <x:c r="B6" s="2" t="n">
        <x:f>COUNTIFS('50 yeu cau'!$B$6:$B$55,A6,'50 yeu cau'!$D$6:$D$55,1)</x:f>
        <x:v>6</x:v>
      </x:c>
      <x:c r="C6" s="2" t="n">
        <x:f>COUNTIFS('50 yeu cau'!$B$6:$B$55,A6)</x:f>
        <x:v>10</x:v>
      </x:c>
      <x:c r="D6" s="20" t="n">
        <x:f>B6/C6</x:f>
        <x:v>0.6</x:v>
      </x:c>
      <x:c r="E6" s="2" t="n"/>
      <x:c r="F6" s="2" t="n"/>
      <x:c r="G6" s="2" t="n"/>
    </x:row>
    <x:row r="7" ht="24" customHeight="1">
      <x:c r="A7" s="2" t="inlineStr">
        <x:is>
          <x:t xml:space="preserve">P2</x:t>
        </x:is>
      </x:c>
      <x:c r="B7" s="2" t="n">
        <x:f>COUNTIFS('50 yeu cau'!$B$6:$B$55,A7,'50 yeu cau'!$D$6:$D$55,1)</x:f>
        <x:v>9</x:v>
      </x:c>
      <x:c r="C7" s="2" t="n">
        <x:f>COUNTIFS('50 yeu cau'!$B$6:$B$55,A7)</x:f>
        <x:v>10</x:v>
      </x:c>
      <x:c r="D7" s="20" t="n">
        <x:f>B7/C7</x:f>
        <x:v>0.9</x:v>
      </x:c>
      <x:c r="E7" s="2" t="n"/>
      <x:c r="F7" s="2" t="n"/>
      <x:c r="G7" s="2" t="n"/>
    </x:row>
    <x:row r="8" ht="24" customHeight="1">
      <x:c r="A8" s="2" t="inlineStr">
        <x:is>
          <x:t xml:space="preserve">P3</x:t>
        </x:is>
      </x:c>
      <x:c r="B8" s="2" t="n">
        <x:f>COUNTIFS('50 yeu cau'!$B$6:$B$55,A8,'50 yeu cau'!$D$6:$D$55,1)</x:f>
        <x:v>8</x:v>
      </x:c>
      <x:c r="C8" s="2" t="n">
        <x:f>COUNTIFS('50 yeu cau'!$B$6:$B$55,A8)</x:f>
        <x:v>10</x:v>
      </x:c>
      <x:c r="D8" s="20" t="n">
        <x:f>B8/C8</x:f>
        <x:v>0.8</x:v>
      </x:c>
      <x:c r="E8" s="2" t="n"/>
      <x:c r="F8" s="2" t="n"/>
      <x:c r="G8" s="2" t="n"/>
    </x:row>
    <x:row r="9" ht="24" customHeight="1">
      <x:c r="A9" s="2" t="inlineStr">
        <x:is>
          <x:t xml:space="preserve">P4</x:t>
        </x:is>
      </x:c>
      <x:c r="B9" s="2" t="n">
        <x:f>COUNTIFS('50 yeu cau'!$B$6:$B$55,A9,'50 yeu cau'!$D$6:$D$55,1)</x:f>
        <x:v>3</x:v>
      </x:c>
      <x:c r="C9" s="2" t="n">
        <x:f>COUNTIFS('50 yeu cau'!$B$6:$B$55,A9)</x:f>
        <x:v>10</x:v>
      </x:c>
      <x:c r="D9" s="20" t="n">
        <x:f>B9/C9</x:f>
        <x:v>0.3</x:v>
      </x:c>
      <x:c r="E9" s="2" t="n"/>
      <x:c r="F9" s="2" t="n"/>
      <x:c r="G9" s="2" t="n"/>
    </x:row>
    <x:row r="10" ht="24" customHeight="1">
      <x:c r="A10" s="2" t="inlineStr">
        <x:is>
          <x:t xml:space="preserve">P5</x:t>
        </x:is>
      </x:c>
      <x:c r="B10" s="2" t="n">
        <x:f>COUNTIFS('50 yeu cau'!$B$6:$B$55,A10,'50 yeu cau'!$D$6:$D$55,1)</x:f>
        <x:v>0</x:v>
      </x:c>
      <x:c r="C10" s="2" t="n">
        <x:f>COUNTIFS('50 yeu cau'!$B$6:$B$55,A10)</x:f>
        <x:v>10</x:v>
      </x:c>
      <x:c r="D10" s="20" t="n">
        <x:f>B10/C10</x:f>
        <x:v>0</x:v>
      </x:c>
      <x:c r="E10" s="2" t="n"/>
      <x:c r="F10" s="2" t="n"/>
      <x:c r="G10" s="2" t="n"/>
    </x:row>
    <x:row r="11" ht="24" customHeight="1">
      <x:c r="A11" s="14" t="inlineStr">
        <x:is>
          <x:t xml:space="preserve">Tổng</x:t>
        </x:is>
      </x:c>
      <x:c r="B11" s="14" t="n">
        <x:f>SUM(B6:B10)</x:f>
        <x:v>26</x:v>
      </x:c>
      <x:c r="C11" s="14" t="n">
        <x:f>SUM(C6:C10)</x:f>
        <x:v>50</x:v>
      </x:c>
      <x:c r="D11" s="21" t="n">
        <x:f>B11/C11</x:f>
        <x:v>0.52</x:v>
      </x:c>
      <x:c r="E11" s="2" t="n"/>
      <x:c r="F11" s="2" t="n"/>
      <x:c r="G11" s="2" t="n"/>
    </x:row>
    <x:row r="12" ht="24" customHeight="1">
      <x:c r="A12" s="2" t="n"/>
      <x:c r="B12" s="2" t="n"/>
      <x:c r="C12" s="2" t="n"/>
      <x:c r="D12" s="2" t="n"/>
      <x:c r="E12" s="2" t="n"/>
      <x:c r="F12" s="2" t="n"/>
      <x:c r="G12" s="2" t="n"/>
    </x:row>
    <x:row r="13" ht="24" customHeight="1">
      <x:c r="A13" s="2" t="inlineStr">
        <x:is>
          <x:t xml:space="preserve">D01: R1 đạt cho sample 2012; R0/R4 còn một phần; R2/R3 chưa đạt. P5 có implementation dù ledger 0/10.</x:t>
        </x:is>
      </x:c>
      <x:c r="B13" s="2" t="n"/>
      <x:c r="C13" s="2" t="n"/>
      <x:c r="D13" s="2" t="n"/>
      <x:c r="E13" s="2" t="n"/>
      <x:c r="F13" s="2" t="n"/>
      <x:c r="G13" s="2" t="n"/>
    </x:row>
    <x:row r="14" ht="24" customHeight="1">
      <x:c r="A14" s="2" t="n"/>
      <x:c r="B14" s="2" t="n"/>
      <x:c r="C14" s="2" t="n"/>
      <x:c r="D14" s="2" t="n"/>
      <x:c r="E14" s="2" t="n"/>
      <x:c r="F14" s="2" t="n"/>
      <x:c r="G14" s="2" t="n"/>
    </x:row>
    <x:row r="15" ht="24" customHeight="1">
      <x:c r="A15" s="2" t="inlineStr">
        <x:is>
          <x:t xml:space="preserve">Cột Trạng thái và Ghi chú có thể cập nhật. Hoàn tất task không tự thay nghiệm thu 50 yêu cầu.</x:t>
        </x:is>
      </x:c>
      <x:c r="B15" s="2" t="n"/>
      <x:c r="C15" s="2" t="n"/>
      <x:c r="D15" s="2" t="n"/>
      <x:c r="E15" s="2" t="n"/>
      <x:c r="F15" s="2" t="n"/>
      <x:c r="G15" s="2" t="n"/>
    </x:row>
    <x:row r="16" ht="24" customHeight="1">
      <x:c r="A16" s="2" t="n"/>
      <x:c r="B16" s="2" t="n"/>
      <x:c r="C16" s="2" t="n"/>
      <x:c r="D16" s="2" t="n"/>
      <x:c r="E16" s="2" t="n"/>
      <x:c r="F16" s="2" t="n"/>
      <x:c r="G16" s="2" t="n"/>
    </x:row>
    <x:row r="17" ht="34" customHeight="1">
      <x:c r="A17" s="8" t="inlineStr">
        <x:is>
          <x:t xml:space="preserve">ID</x:t>
        </x:is>
      </x:c>
      <x:c r="B17" s="8" t="inlineStr">
        <x:is>
          <x:t xml:space="preserve">Ưu tiên / phạm vi</x:t>
        </x:is>
      </x:c>
      <x:c r="C17" s="8" t="inlineStr">
        <x:is>
          <x:t xml:space="preserve">Công việc và đầu ra</x:t>
        </x:is>
      </x:c>
      <x:c r="D17" s="8" t="inlineStr">
        <x:is>
          <x:t xml:space="preserve">Phụ thuộc</x:t>
        </x:is>
      </x:c>
      <x:c r="E17" s="8" t="inlineStr">
        <x:is>
          <x:t xml:space="preserve">Điều kiện đóng</x:t>
        </x:is>
      </x:c>
      <x:c r="F17" s="8" t="inlineStr">
        <x:is>
          <x:t xml:space="preserve">Trạng thái</x:t>
        </x:is>
      </x:c>
      <x:c r="G17" s="8" t="inlineStr">
        <x:is>
          <x:t xml:space="preserve">Ghi chú tiến độ</x:t>
        </x:is>
      </x:c>
    </x:row>
    <x:row r="18" ht="68" customHeight="1">
      <x:c r="A18" s="9" t="inlineStr">
        <x:is>
          <x:t xml:space="preserve">N01</x:t>
        </x:is>
      </x:c>
      <x:c r="B18" s="9" t="inlineStr">
        <x:is>
          <x:t xml:space="preserve">Ngay / shared</x:t>
        </x:is>
      </x:c>
      <x:c r="C18" s="9" t="inlineStr">
        <x:is>
          <x:t xml:space="preserve">Hợp nhất completion, D01 release, data readiness vào một trạng thái nguồn</x:t>
        </x:is>
      </x:c>
      <x:c r="D18" s="9" t="inlineStr">
        <x:is>
          <x:t xml:space="preserve">Ledger hiện tại</x:t>
        </x:is>
      </x:c>
      <x:c r="E18" s="9" t="inlineStr">
        <x:is>
          <x:t xml:space="preserve">Tổng 26/50 tái tạo từ ledger; UI/docs không gọi 52% là D01; historical labels được giữ</x:t>
        </x:is>
      </x:c>
      <x:c r="F18" s="17" t="inlineStr">
        <x:is>
          <x:t xml:space="preserve">Đang làm</x:t>
        </x:is>
      </x:c>
      <x:c r="G18" s="17" t="inlineStr">
        <x:is>
          <x:t xml:space="preserve">API/UI derives P1-P5 from the ledger; final local runtime review remains.</x:t>
        </x:is>
      </x:c>
    </x:row>
    <x:row r="19" ht="224.39999389648438" hidden="0" customHeight="1">
      <x:c r="A19" s="10" t="inlineStr">
        <x:is>
          <x:t xml:space="preserve">N02</x:t>
        </x:is>
      </x:c>
      <x:c r="B19" s="10" t="inlineStr">
        <x:is>
          <x:t xml:space="preserve">Ngay / shared</x:t>
        </x:is>
      </x:c>
      <x:c r="C19" s="10" t="str">
        <x:v>N02 binds 22/27 parent groups across 123 source records; five groups have explicit dispositions. Apple FY2025 now has a four-ratio source crosswalk to SEC concepts, accession, period, USD unit and filing date. P4 browser/export passes 20 checks and one source-bound workbook passes Excel desktop. Remaining: other routes, rights/ownership, Apple point-in-time and debt-service qualification. No forecast/imputation.</x:v>
      </x:c>
      <x:c r="D19" s="10" t="str">
        <x:v>P4 source-bound XLSX read-back: 7 sheets, 19 formulas, 0 errors, no external links, 39/39 upstream hashes; Excel 16.0 read-only/recalc pass. P4 JSON has source/output/lineage hashes; 32 export tests and 20 browser checks pass, 0 browser errors. Apple ratios: current 0.893292922x; liabilities/assets 79.475338283%; net margin 26.915064122%; OCF/revenue 26.788190148%. Current SEC snapshot is not PIT-qualified; interest coverage unavailable.</x:v>
      </x:c>
      <x:c r="E19" s="10" t="inlineStr">
        <x:is>
          <x:t xml:space="preserve">27 groups statused; each KPI traces source → field → filter → formula → API/Excel; rights resolved/fenced; no unsupported estimates.</x:t>
        </x:is>
      </x:c>
      <x:c r="F19" s="17" t="inlineStr">
        <x:is>
          <x:t xml:space="preserve">Đang làm</x:t>
        </x:is>
      </x:c>
      <x:c r="G19" s="17" t="str">
        <x:v>HMDA current-code browser QA: 46 checks, receipt app.js hashes match current code, zero page/console errors; all nine release-bound workbooks pass Excel 16.0 read-only/recalc (177 formulas, zero errors/links); 146 HMDA tests pass. Release comparability and reuse rights remain open. Apple remains one descriptive accession without point-in-time/debt-service qualification; Freddie stays a private sample, not owned exposure; HAMP gaps remain missing. No forecast; capability stays 26/50.</x:v>
      </x:c>
    </x:row>
    <x:row r="20" ht="202.5" customHeight="1">
      <x:c r="A20" s="9" t="inlineStr">
        <x:is>
          <x:t xml:space="preserve">N03</x:t>
        </x:is>
      </x:c>
      <x:c r="B20" s="9" t="inlineStr">
        <x:is>
          <x:t xml:space="preserve">Ngay / shared/P4</x:t>
        </x:is>
      </x:c>
      <x:c r="C20" s="9" t="inlineStr">
        <x:is>
          <x:t xml:space="preserve">Registry phương pháp/giả định; gắn nhãn actual/derived/imputed/model/scenario</x:t>
        </x:is>
      </x:c>
      <x:c r="D20" s="9" t="inlineStr">
        <x:is>
          <x:t xml:space="preserve">N02, model/scenario artifacts</x:t>
        </x:is>
      </x:c>
      <x:c r="E20" s="9" t="inlineStr">
        <x:is>
          <x:t xml:space="preserve">Từng output số đi tới method/input; phân biệt publisher-imputed với app-imputed; không sửa frozen studies</x:t>
        </x:is>
      </x:c>
      <x:c r="F20" s="17" t="inlineStr">
        <x:is>
          <x:t xml:space="preserve">Đang làm</x:t>
        </x:is>
      </x:c>
      <x:c r="G20" s="17" t="str">
        <x:v>NMDB Excel 16 read-only: performance suppression query 98×12; New AVE_INTRATE 28×18; Outstanding PCT_MTMLTV_GT100 54×18. HMDA fixed-2023-mix raw-source audit passes 70/70 checks for mart, attrition, denominators/amounts, reference/common-support weights, missing strata and hash stability. This verifies local calculations only, not risk prediction/fairness/causality. Remaining N03 KPI and release comparability/rights work stays open; no forecast; 26/50.</x:v>
      </x:c>
    </x:row>
    <x:row r="21" ht="68" customHeight="1">
      <x:c r="A21" s="10" t="inlineStr">
        <x:is>
          <x:t xml:space="preserve">N04</x:t>
        </x:is>
      </x:c>
      <x:c r="B21" s="10" t="inlineStr">
        <x:is>
          <x:t xml:space="preserve">Ngay / engineering</x:t>
        </x:is>
      </x:c>
      <x:c r="C21" s="10" t="inlineStr">
        <x:is>
          <x:t xml:space="preserve">Public regression receipt, route inventory, runtime profiling</x:t>
        </x:is>
      </x:c>
      <x:c r="D21" s="10" t="inlineStr">
        <x:is>
          <x:t xml:space="preserve">Public checkout</x:t>
        </x:is>
      </x:c>
      <x:c r="E21" s="10" t="inlineStr">
        <x:is>
          <x:t xml:space="preserve">Pass/fail/skip theo môi trường; đo cold/warm p50/p95 riêng; giải thích suite-view timeout</x:t>
        </x:is>
      </x:c>
      <x:c r="F21" s="17" t="inlineStr">
        <x:is>
          <x:t xml:space="preserve">Chưa bắt đầu</x:t>
        </x:is>
      </x:c>
      <x:c r="G21" s="17" t="str"/>
    </x:row>
    <x:row r="22" ht="105" customHeight="1">
      <x:c r="A22" s="9" t="inlineStr">
        <x:is>
          <x:t xml:space="preserve">N05</x:t>
        </x:is>
      </x:c>
      <x:c r="B22" s="9" t="inlineStr">
        <x:is>
          <x:t xml:space="preserve">Tiếp theo / market</x:t>
        </x:is>
      </x:c>
      <x:c r="C22" s="9" t="inlineStr">
        <x:is>
          <x:t xml:space="preserve">NMDB New/Outstanding canonical aggregate mart</x:t>
        </x:is>
      </x:c>
      <x:c r="D22" s="9" t="inlineStr">
        <x:is>
          <x:t xml:space="preserve">Raw FHFA đã audited</x:t>
        </x:is>
      </x:c>
      <x:c r="E22" s="9" t="inlineStr">
        <x:is>
          <x:t xml:space="preserve">Unique source key, count/amount weighting và units đúng; suppression/null giữ nguyên</x:t>
        </x:is>
      </x:c>
      <x:c r="F22" s="17" t="inlineStr">
        <x:is>
          <x:t xml:space="preserve">Đang làm</x:t>
        </x:is>
      </x:c>
      <x:c r="G22" s="17" t="str">
        <x:v>FHFA release-bound mart: 3.04M annual + 535,464 quarterly rows. Excel 16 parity passes New AVE_INTRATE (28/28) and Outstanding PCT_MTMLTV_GT100 (54/54); no imputation. Broader query coverage remains open.</x:v>
      </x:c>
    </x:row>
    <x:row r="23" ht="105" customHeight="1">
      <x:c r="A23" s="10" t="inlineStr">
        <x:is>
          <x:t xml:space="preserve">N06</x:t>
        </x:is>
      </x:c>
      <x:c r="B23" s="10" t="inlineStr">
        <x:is>
          <x:t xml:space="preserve">Tiếp theo / market</x:t>
        </x:is>
      </x:c>
      <x:c r="C23" s="10" t="inlineStr">
        <x:is>
          <x:t xml:space="preserve">NMDB app + workbook theo geography/market/period/measure</x:t>
        </x:is>
      </x:c>
      <x:c r="D23" s="10" t="inlineStr">
        <x:is>
          <x:t xml:space="preserve">N05</x:t>
        </x:is>
      </x:c>
      <x:c r="E23" s="10" t="inlineStr">
        <x:is>
          <x:t xml:space="preserve">Filter parity API/Excel; denominator/units hiện cạnh KPI; không xuất raw vượt worksheet limit</x:t>
        </x:is>
      </x:c>
      <x:c r="F23" s="17" t="inlineStr">
        <x:is>
          <x:t xml:space="preserve">Đang làm</x:t>
        </x:is>
      </x:c>
      <x:c r="G23" s="17" t="str">
        <x:v>D02 state reference: 79,968 ×13 source rows match; 68 suppressed rows and 14,535 blank rates retained. Excel 16 opens the 24-sheet workbook; Table filter visible; bytes unchanged. Other routes/filters remain open.</x:v>
      </x:c>
    </x:row>
    <x:row r="24" ht="75" customHeight="1">
      <x:c r="A24" s="9" t="inlineStr">
        <x:is>
          <x:t xml:space="preserve">N07</x:t>
        </x:is>
      </x:c>
      <x:c r="B24" s="9" t="inlineStr">
        <x:is>
          <x:t xml:space="preserve">Cao / P5</x:t>
        </x:is>
      </x:c>
      <x:c r="C24" s="9" t="inlineStr">
        <x:is>
          <x:t xml:space="preserve">Toyota recovery components và exception ledger</x:t>
        </x:is>
      </x:c>
      <x:c r="D24" s="9" t="inlineStr">
        <x:is>
          <x:t xml:space="preserve">Panels/certificates/EX-103 đã có</x:t>
        </x:is>
      </x:c>
      <x:c r="E24" s="9" t="inlineStr">
        <x:is>
          <x:t xml:space="preserve">51+29 kỳ có bridge; residual mỗi kỳ giải thích hoặc unresolved có bằng chứng; không ép zero</x:t>
        </x:is>
      </x:c>
      <x:c r="F24" s="17" t="inlineStr">
        <x:is>
          <x:t xml:space="preserve">Đang làm</x:t>
        </x:is>
      </x:c>
      <x:c r="G24" s="17" t="inlineStr">
        <x:is>
          <x:t xml:space="preserve">80 periods; 3 exact ties, 77 positive residuals unresolved. Certificate identities 80/80. Residual is 12.77% of ABS-EE recoveredAmount, not recovery rate/LGD.</x:t>
        </x:is>
      </x:c>
    </x:row>
    <x:row r="25" ht="75" customHeight="1">
      <x:c r="A25" s="10" t="inlineStr">
        <x:is>
          <x:t xml:space="preserve">N08</x:t>
        </x:is>
      </x:c>
      <x:c r="B25" s="10" t="inlineStr">
        <x:is>
          <x:t xml:space="preserve">Cao / P5</x:t>
        </x:is>
      </x:c>
      <x:c r="C25" s="10" t="inlineStr">
        <x:is>
          <x:t xml:space="preserve">Nissan event/DPD/recovery exceptions theo thời gian</x:t>
        </x:is>
      </x:c>
      <x:c r="D25" s="10" t="inlineStr">
        <x:is>
          <x:t xml:space="preserve">Nissan 23 kỳ, N07 pattern</x:t>
        </x:is>
      </x:c>
      <x:c r="E25" s="10" t="inlineStr">
        <x:is>
          <x:t xml:space="preserve">Tái tạo ngoại lệ 07/2025 và DPD 06/2025; rule không được chọn chỉ vì khớp một kỳ</x:t>
        </x:is>
      </x:c>
      <x:c r="F25" s="17" t="inlineStr">
        <x:is>
          <x:t xml:space="preserve">Đang làm</x:t>
        </x:is>
      </x:c>
      <x:c r="G25" s="17" t="inlineStr">
        <x:is>
          <x:t xml:space="preserve">23 periods: balance/count 23/23; DPD 178/184; recovery ties 17/23. Six residuals USD 8,859.23. July 2025 charge-off unresolved; June shift rejected globally (86/184).</x:t>
        </x:is>
      </x:c>
    </x:row>
    <x:row r="26" ht="75" customHeight="1">
      <x:c r="A26" s="9" t="inlineStr">
        <x:is>
          <x:t xml:space="preserve">N09</x:t>
        </x:is>
      </x:c>
      <x:c r="B26" s="9" t="inlineStr">
        <x:is>
          <x:t xml:space="preserve">Cao / P5</x:t>
        </x:is>
      </x:c>
      <x:c r="C26" s="9" t="inlineStr">
        <x:is>
          <x:t xml:space="preserve">Surveillance release gộp các deal bằng contract riêng</x:t>
        </x:is>
      </x:c>
      <x:c r="D26" s="9" t="inlineStr">
        <x:is>
          <x:t xml:space="preserve">N07/N08</x:t>
        </x:is>
      </x:c>
      <x:c r="E26" s="9" t="inlineStr">
        <x:is>
          <x:t xml:space="preserve">KPI source-backed, exception drilldown, source links, Excel và analyst finding; không gọi unresolved recovery là LGD</x:t>
        </x:is>
      </x:c>
      <x:c r="F26" s="17" t="inlineStr">
        <x:is>
          <x:t xml:space="preserve">Đã nghiệm thu</x:t>
        </x:is>
      </x:c>
      <x:c r="G26" s="17" t="inlineStr">
        <x:is>
          <x:t xml:space="preserve">N09 release accepted across 103 periods. 83 recovery residuals unresolved; keep contract comparators separate and do not claim recovery/LGD.</x:t>
        </x:is>
      </x:c>
    </x:row>
    <x:row r="27" ht="68" customHeight="1">
      <x:c r="A27" s="10" t="inlineStr">
        <x:is>
          <x:t xml:space="preserve">N10</x:t>
        </x:is>
      </x:c>
      <x:c r="B27" s="10" t="inlineStr">
        <x:is>
          <x:t xml:space="preserve">Đường găng / D01</x:t>
        </x:is>
      </x:c>
      <x:c r="C27" s="10" t="inlineStr">
        <x:is>
          <x:t xml:space="preserve">Freddie access, pilot annual sample, release/layout audit</x:t>
        </x:is>
      </x:c>
      <x:c r="D27" s="10" t="inlineStr">
        <x:is>
          <x:t xml:space="preserve">Authenticated access</x:t>
        </x:is>
      </x:c>
      <x:c r="E27" s="10" t="inlineStr">
        <x:is>
          <x:t xml:space="preserve">Official receipt/hash, parser/source counts, observed cutoff và resource budget đạt</x:t>
        </x:is>
      </x:c>
      <x:c r="F27" s="17" t="inlineStr">
        <x:is>
          <x:t xml:space="preserve">Chờ truy cập</x:t>
        </x:is>
      </x:c>
      <x:c r="G27" s="17" t="str"/>
    </x:row>
    <x:row r="28" ht="68" customHeight="1">
      <x:c r="A28" s="9" t="inlineStr">
        <x:is>
          <x:t xml:space="preserve">N11</x:t>
        </x:is>
      </x:c>
      <x:c r="B28" s="9" t="inlineStr">
        <x:is>
          <x:t xml:space="preserve">Đường găng / D01</x:t>
        </x:is>
      </x:c>
      <x:c r="C28" s="9" t="inlineStr">
        <x:is>
          <x:t xml:space="preserve">Multi-vintage source/labels/support/temporal protocol</x:t>
        </x:is>
      </x:c>
      <x:c r="D28" s="9" t="inlineStr">
        <x:is>
          <x:t xml:space="preserve">N10</x:t>
        </x:is>
      </x:c>
      <x:c r="E28" s="9" t="inlineStr">
        <x:is>
          <x:t xml:space="preserve">M01-006/007/015/016 đủ; final-access policy trước phân tích OOT; maturity và overlap audits</x:t>
        </x:is>
      </x:c>
      <x:c r="F28" s="17" t="inlineStr">
        <x:is>
          <x:t xml:space="preserve">Chưa bắt đầu</x:t>
        </x:is>
      </x:c>
      <x:c r="G28" s="17" t="str"/>
    </x:row>
    <x:row r="29" ht="68" customHeight="1">
      <x:c r="A29" s="10" t="inlineStr">
        <x:is>
          <x:t xml:space="preserve">N12</x:t>
        </x:is>
      </x:c>
      <x:c r="B29" s="10" t="inlineStr">
        <x:is>
          <x:t xml:space="preserve">Sau R2 / D01</x:t>
        </x:is>
      </x:c>
      <x:c r="C29" s="10" t="inlineStr">
        <x:is>
          <x:t xml:space="preserve">Constant + logistic, then bounded boosting; calibration/freeze/OOT</x:t>
        </x:is>
      </x:c>
      <x:c r="D29" s="10" t="inlineStr">
        <x:is>
          <x:t xml:space="preserve">N11</x:t>
        </x:is>
      </x:c>
      <x:c r="E29" s="10" t="inlineStr">
        <x:is>
          <x:t xml:space="preserve">Cùng target/cohort, train-only features, metrics/uncertainty, frozen selection; có thể kết luận không đạt performance</x:t>
        </x:is>
      </x:c>
      <x:c r="F29" s="17" t="inlineStr">
        <x:is>
          <x:t xml:space="preserve">Chưa bắt đầu</x:t>
        </x:is>
      </x:c>
      <x:c r="G29" s="17" t="str"/>
    </x:row>
    <x:row r="30" ht="68" customHeight="1">
      <x:c r="A30" s="9" t="inlineStr">
        <x:is>
          <x:t xml:space="preserve">N13</x:t>
        </x:is>
      </x:c>
      <x:c r="B30" s="9" t="inlineStr">
        <x:is>
          <x:t xml:space="preserve">Có điều kiện / Ginnie</x:t>
        </x:is>
      </x:c>
      <x:c r="C30" s="9" t="inlineStr">
        <x:is>
          <x:t xml:space="preserve">Quarterly pilot và joint key/removal semantics</x:t>
        </x:is>
      </x:c>
      <x:c r="D30" s="9" t="inlineStr">
        <x:is>
          <x:t xml:space="preserve">Session-file path do user cung cấp</x:t>
        </x:is>
      </x:c>
      <x:c r="E30" s="9" t="inlineStr">
        <x:is>
          <x:t xml:space="preserve">File thật/hash/layout/totals; source case riêng; không tăng Freddie vintage count</x:t>
        </x:is>
      </x:c>
      <x:c r="F30" s="17" t="inlineStr">
        <x:is>
          <x:t xml:space="preserve">Chờ truy cập</x:t>
        </x:is>
      </x:c>
      <x:c r="G30" s="17" t="str"/>
    </x:row>
    <x:row r="31" ht="75" customHeight="1">
      <x:c r="A31" s="10" t="inlineStr">
        <x:is>
          <x:t xml:space="preserve">N14</x:t>
        </x:is>
      </x:c>
      <x:c r="B31" s="10" t="inlineStr">
        <x:is>
          <x:t xml:space="preserve">Song song / P1</x:t>
        </x:is>
      </x:c>
      <x:c r="C31" s="10" t="inlineStr">
        <x:is>
          <x:t xml:space="preserve">Bondora label/maturity/as-of qualification</x:t>
        </x:is>
      </x:c>
      <x:c r="D31" s="10" t="inlineStr">
        <x:is>
          <x:t xml:space="preserve">Snapshot/dictionary đã có</x:t>
        </x:is>
      </x:c>
      <x:c r="E31" s="10" t="inlineStr">
        <x:is>
          <x:t xml:space="preserve">3-way true/false/NULL giữ đúng, country/time support; no post-booking predictors</x:t>
        </x:is>
      </x:c>
      <x:c r="F31" s="17" t="inlineStr">
        <x:is>
          <x:t xml:space="preserve">Đang làm</x:t>
        </x:is>
      </x:c>
      <x:c r="G31" s="17" t="inlineStr">
        <x:is>
          <x:t xml:space="preserve">789,144-row Bondora snapshot audited. 10,860 NULL labels precede maturity proxy; no post-anniversary action evidence. Partial; no model fit.</x:t>
        </x:is>
      </x:c>
    </x:row>
    <x:row r="32" ht="68" customHeight="1">
      <x:c r="A32" s="9" t="inlineStr">
        <x:is>
          <x:t xml:space="preserve">N15</x:t>
        </x:is>
      </x:c>
      <x:c r="B32" s="9" t="inlineStr">
        <x:is>
          <x:t xml:space="preserve">Sau qualify / P1</x:t>
        </x:is>
      </x:c>
      <x:c r="C32" s="9" t="inlineStr">
        <x:is>
          <x:t xml:space="preserve">Booked-loan descriptive cohort và candidate temporal benchmark</x:t>
        </x:is>
      </x:c>
      <x:c r="D32" s="9" t="inlineStr">
        <x:is>
          <x:t xml:space="preserve">N14</x:t>
        </x:is>
      </x:c>
      <x:c r="E32" s="9" t="inlineStr">
        <x:is>
          <x:t xml:space="preserve">Target và availability được chốt trước fit; repeat-borrower caveat; không đóng application underwriting chỉ bằng booked data</x:t>
        </x:is>
      </x:c>
      <x:c r="F32" s="17" t="inlineStr">
        <x:is>
          <x:t xml:space="preserve">Chưa bắt đầu</x:t>
        </x:is>
      </x:c>
      <x:c r="G32" s="17" t="str"/>
    </x:row>
    <x:row r="33" ht="68" customHeight="1">
      <x:c r="A33" s="10" t="inlineStr">
        <x:is>
          <x:t xml:space="preserve">N16</x:t>
        </x:is>
      </x:c>
      <x:c r="B33" s="10" t="inlineStr">
        <x:is>
          <x:t xml:space="preserve">Cao / P3</x:t>
        </x:is>
      </x:c>
      <x:c r="C33" s="10" t="inlineStr">
        <x:is>
          <x:t xml:space="preserve">Một complete facility/debt-service case</x:t>
        </x:is>
      </x:c>
      <x:c r="D33" s="10" t="inlineStr">
        <x:is>
          <x:t xml:space="preserve">Executed terms, payment/EIR evidence</x:t>
        </x:is>
      </x:c>
      <x:c r="E33" s="10" t="inlineStr">
        <x:is>
          <x:t xml:space="preserve">Cash schedule + term lineage, amendment dates, source reconciliation, unavailable inputs có lý do</x:t>
        </x:is>
      </x:c>
      <x:c r="F33" s="17" t="inlineStr">
        <x:is>
          <x:t xml:space="preserve">Chưa bắt đầu</x:t>
        </x:is>
      </x:c>
      <x:c r="G33" s="17" t="str"/>
    </x:row>
    <x:row r="34" ht="68" customHeight="1">
      <x:c r="A34" s="9" t="inlineStr">
        <x:is>
          <x:t xml:space="preserve">N17</x:t>
        </x:is>
      </x:c>
      <x:c r="B34" s="9" t="inlineStr">
        <x:is>
          <x:t xml:space="preserve">Sau N16 / P3</x:t>
        </x:is>
      </x:c>
      <x:c r="C34" s="9" t="inlineStr">
        <x:is>
          <x:t xml:space="preserve">Covenant definitions/adjustments/headroom + Excel memo</x:t>
        </x:is>
      </x:c>
      <x:c r="D34" s="9" t="inlineStr">
        <x:is>
          <x:t xml:space="preserve">N16</x:t>
        </x:is>
      </x:c>
      <x:c r="E34" s="9" t="inlineStr">
        <x:is>
          <x:t xml:space="preserve">Test date/threshold/adjustments đúng scope; unknown legal applicability không trả breach badge</x:t>
        </x:is>
      </x:c>
      <x:c r="F34" s="17" t="inlineStr">
        <x:is>
          <x:t xml:space="preserve">Chưa bắt đầu</x:t>
        </x:is>
      </x:c>
      <x:c r="G34" s="17" t="str"/>
    </x:row>
    <x:row r="35" ht="68" customHeight="1">
      <x:c r="A35" s="10" t="inlineStr">
        <x:is>
          <x:t xml:space="preserve">N18</x:t>
        </x:is>
      </x:c>
      <x:c r="B35" s="10" t="inlineStr">
        <x:is>
          <x:t xml:space="preserve">Có điều kiện / P4</x:t>
        </x:is>
      </x:c>
      <x:c r="C35" s="10" t="inlineStr">
        <x:is>
          <x:t xml:space="preserve">Actual contract/exposure/obligor adapter</x:t>
        </x:is>
      </x:c>
      <x:c r="D35" s="10" t="inlineStr">
        <x:is>
          <x:t xml:space="preserve">N16 hoặc loan contracts hợp lệ</x:t>
        </x:is>
      </x:c>
      <x:c r="E35" s="10" t="inlineStr">
        <x:is>
          <x:t xml:space="preserve">Actual schedule/EIR/group IDs và reconciled balance; no cross-currency sums</x:t>
        </x:is>
      </x:c>
      <x:c r="F35" s="17" t="inlineStr">
        <x:is>
          <x:t xml:space="preserve">Chưa bắt đầu</x:t>
        </x:is>
      </x:c>
      <x:c r="G35" s="17" t="str"/>
    </x:row>
    <x:row r="36" ht="68" customHeight="1">
      <x:c r="A36" s="9" t="inlineStr">
        <x:is>
          <x:t xml:space="preserve">N19</x:t>
        </x:is>
      </x:c>
      <x:c r="B36" s="9" t="inlineStr">
        <x:is>
          <x:t xml:space="preserve">Sau N18 / P4</x:t>
        </x:is>
      </x:c>
      <x:c r="C36" s="9" t="inlineStr">
        <x:is>
          <x:t xml:space="preserve">Research EL/ECL qualification pilot</x:t>
        </x:is>
      </x:c>
      <x:c r="D36" s="9" t="inlineStr">
        <x:is>
          <x:t xml:space="preserve">N18 + compatible PD/recovery evidence</x:t>
        </x:is>
      </x:c>
      <x:c r="E36" s="9" t="inlineStr">
        <x:is>
          <x:t xml:space="preserve">Matching target/horizon/population, calibrated inputs hoặc assumptions rõ; staging policy và timing audit</x:t>
        </x:is>
      </x:c>
      <x:c r="F36" s="17" t="inlineStr">
        <x:is>
          <x:t xml:space="preserve">Chưa bắt đầu</x:t>
        </x:is>
      </x:c>
      <x:c r="G36" s="17" t="str"/>
    </x:row>
    <x:row r="37" ht="105" customHeight="1">
      <x:c r="A37" s="10" t="inlineStr">
        <x:is>
          <x:t xml:space="preserve">N20</x:t>
        </x:is>
      </x:c>
      <x:c r="B37" s="10" t="inlineStr">
        <x:is>
          <x:t xml:space="preserve">Shared / delivery</x:t>
        </x:is>
      </x:c>
      <x:c r="C37" s="10" t="inlineStr">
        <x:is>
          <x:t xml:space="preserve">Excel package conventions và filtered export parity</x:t>
        </x:is>
      </x:c>
      <x:c r="D37" s="10" t="inlineStr">
        <x:is>
          <x:t xml:space="preserve">N02/N03</x:t>
        </x:is>
      </x:c>
      <x:c r="E37" s="10" t="inlineStr">
        <x:is>
          <x:t xml:space="preserve">Dictionary/KPI/exceptions/review consistent; no truncation, formula/number precision và native-engine checks</x:t>
        </x:is>
      </x:c>
      <x:c r="F37" s="17" t="inlineStr">
        <x:is>
          <x:t xml:space="preserve">Đang làm</x:t>
        </x:is>
      </x:c>
      <x:c r="G37" s="17" t="str">
        <x:v>Excel 16 read-only passes: plan workbook, one performance query, two New/Outstanding exports and the 24-sheet D02 state reference. NMDB source values and suppression stay intact; remaining HMDA/PUDB/HUD routes and broader filters need QA.</x:v>
      </x:c>
    </x:row>
    <x:row r="38" ht="68" customHeight="1">
      <x:c r="A38" s="9" t="inlineStr">
        <x:is>
          <x:t xml:space="preserve">N21</x:t>
        </x:is>
      </x:c>
      <x:c r="B38" s="9" t="inlineStr">
        <x:is>
          <x:t xml:space="preserve">Shared / engineering</x:t>
        </x:is>
      </x:c>
      <x:c r="C38" s="9" t="inlineStr">
        <x:is>
          <x:t xml:space="preserve">CI source-only, private-data test runner, incremental route modularization</x:t>
        </x:is>
      </x:c>
      <x:c r="D38" s="9" t="inlineStr">
        <x:is>
          <x:t xml:space="preserve">N04</x:t>
        </x:is>
      </x:c>
      <x:c r="E38" s="9" t="inlineStr">
        <x:is>
          <x:t xml:space="preserve">Public CI không cần private data; declared skips; dependencies pinned; existing export contracts giữ nguyên</x:t>
        </x:is>
      </x:c>
      <x:c r="F38" s="17" t="inlineStr">
        <x:is>
          <x:t xml:space="preserve">Chưa bắt đầu</x:t>
        </x:is>
      </x:c>
      <x:c r="G38" s="17" t="str"/>
    </x:row>
    <x:row r="39" ht="68" customHeight="1">
      <x:c r="A39" s="10" t="inlineStr">
        <x:is>
          <x:t xml:space="preserve">N22</x:t>
        </x:is>
      </x:c>
      <x:c r="B39" s="10" t="inlineStr">
        <x:is>
          <x:t xml:space="preserve">Shared / review</x:t>
        </x:is>
      </x:c>
      <x:c r="C39" s="10" t="inlineStr">
        <x:is>
          <x:t xml:space="preserve">Review ownership, exception lifecycle và audit trail</x:t>
        </x:is>
      </x:c>
      <x:c r="D39" s="10" t="inlineStr">
        <x:is>
          <x:t xml:space="preserve">N01/N03</x:t>
        </x:is>
      </x:c>
      <x:c r="E39" s="10" t="inlineStr">
        <x:is>
          <x:t xml:space="preserve">Assigned/reviewed/closed có evidence; authentication chỉ khi mở multi-user scope, không đổi local review thành bank approval</x:t>
        </x:is>
      </x:c>
      <x:c r="F39" s="17" t="inlineStr">
        <x:is>
          <x:t xml:space="preserve">Chưa bắt đầu</x:t>
        </x:is>
      </x:c>
      <x:c r="G39" s="17" t="str"/>
    </x:row>
    <x:row r="40" ht="68" customHeight="1">
      <x:c r="A40" s="9" t="inlineStr">
        <x:is>
          <x:t xml:space="preserve">N23</x:t>
        </x:is>
      </x:c>
      <x:c r="B40" s="9" t="inlineStr">
        <x:is>
          <x:t xml:space="preserve">Đóng gói</x:t>
        </x:is>
      </x:c>
      <x:c r="C40" s="9" t="inlineStr">
        <x:is>
          <x:t xml:space="preserve">Năm case-study deliverables cùng một app</x:t>
        </x:is>
      </x:c>
      <x:c r="D40" s="9" t="inlineStr">
        <x:is>
          <x:t xml:space="preserve">Các slice đã nghiệm thu</x:t>
        </x:is>
      </x:c>
      <x:c r="E40" s="9" t="inlineStr">
        <x:is>
          <x:t xml:space="preserve">Mỗi case có business question, data, methods, results, limitations, reproduction, analyst Excel</x:t>
        </x:is>
      </x:c>
      <x:c r="F40" s="17" t="inlineStr">
        <x:is>
          <x:t xml:space="preserve">Chưa bắt đầu</x:t>
        </x:is>
      </x:c>
      <x:c r="G40" s="17" t="str"/>
    </x:row>
    <x:row r="41" ht="68" customHeight="1">
      <x:c r="A41" s="10" t="inlineStr">
        <x:is>
          <x:t xml:space="preserve">N24</x:t>
        </x:is>
      </x:c>
      <x:c r="B41" s="10" t="inlineStr">
        <x:is>
          <x:t xml:space="preserve">Mở rộng sau</x:t>
        </x:is>
      </x:c>
      <x:c r="C41" s="10" t="inlineStr">
        <x:is>
          <x:t xml:space="preserve">Vietnam financial-report pilot hoặc loan-data partner</x:t>
        </x:is>
      </x:c>
      <x:c r="D41" s="10" t="inlineStr">
        <x:is>
          <x:t xml:space="preserve">Mục tiêu sử dụng/data rights rõ</x:t>
        </x:is>
      </x:c>
      <x:c r="E41" s="10" t="inlineStr">
        <x:is>
          <x:t xml:space="preserve">Hạch toán/đơn vị/thời điểm hợp lệ; không áp nguyên PD benchmark nước ngoài; giữ separate acceptance</x:t>
        </x:is>
      </x:c>
      <x:c r="F41" s="17" t="inlineStr">
        <x:is>
          <x:t xml:space="preserve">Chưa bắt đầu</x:t>
        </x:is>
      </x:c>
      <x:c r="G41" s="17" t="str"/>
    </x:row>
    <x:row r="42" ht="24" customHeight="1">
      <x:c r="A42" s="2" t="n"/>
      <x:c r="B42" s="2" t="n"/>
      <x:c r="C42" s="2" t="n"/>
      <x:c r="D42" s="2" t="n"/>
      <x:c r="E42" s="2" t="n"/>
      <x:c r="F42" s="2" t="n"/>
      <x:c r="G42" s="2" t="n"/>
    </x:row>
    <x:row r="43" ht="24" customHeight="1">
      <x:c r="A43" s="2" t="n"/>
      <x:c r="B43" s="2" t="n"/>
      <x:c r="C43" s="2" t="n"/>
      <x:c r="D43" s="2" t="n"/>
      <x:c r="E43" s="2" t="n"/>
      <x:c r="F43" s="2" t="n"/>
      <x:c r="G43" s="2" t="n"/>
    </x:row>
  </x:sheetData>
  <x:conditionalFormatting sqref="F18:F41">
    <x:cfRule type="containsText" dxfId="0" priority="1" operator="containsText" text="Chờ"/>
  </x:conditionalFormatting>
  <x:dataValidations count="1">
    <x:dataValidation type="list" allowBlank="0" showDropDown="0" showInputMessage="0" showErrorMessage="0" sqref="F18:F41">
      <x:formula1>"Chưa bắt đầu,Đang làm,Chờ truy cập,Chờ dữ liệu,Cần nghiên cứu,Đã nghiệm thu"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48e26ced734d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34" customWidth="1"/>
    <x:col min="4" max="4" width="15" customWidth="1"/>
    <x:col min="5" max="5" width="68" customWidth="1"/>
    <x:col min="6" max="6" width="62" customWidth="1"/>
    <x:col min="7" max="7" width="65" customWidth="1"/>
  </x:cols>
  <x:sheetData>
    <x:row r="1" ht="24" customHeight="1">
      <x:c r="A1" s="2" t="n"/>
      <x:c r="B1" s="2" t="n"/>
      <x:c r="C1" s="2" t="n"/>
      <x:c r="D1" s="2" t="n"/>
      <x:c r="E1" s="2" t="n"/>
      <x:c r="F1" s="2" t="n"/>
      <x:c r="G1" s="2" t="n"/>
    </x:row>
    <x:row r="2" ht="24" customHeight="1">
      <x:c r="A2" s="3" t="inlineStr">
        <x:is>
          <x:t xml:space="preserve">50 yêu cầu và phạm vi nghiệm thu</x:t>
        </x:is>
      </x:c>
      <x:c r="B2" s="2" t="n"/>
      <x:c r="C2" s="2" t="n"/>
      <x:c r="D2" s="2" t="n"/>
      <x:c r="E2" s="2" t="n"/>
      <x:c r="F2" s="2" t="n"/>
      <x:c r="G2" s="2" t="n"/>
    </x:row>
    <x:row r="3" ht="24" customHeight="1">
      <x:c r="A3" s="4" t="inlineStr">
        <x:is>
          <x:t xml:space="preserve">Ngày 16/10/2026. Đạt = 1 chỉ trong scope hiện tại. Không sửa để nâng tỷ lệ nếu chưa có evidence.</x:t>
        </x:is>
      </x:c>
      <x:c r="B3" s="4" t="n"/>
      <x:c r="C3" s="4" t="n"/>
      <x:c r="D3" s="4" t="n"/>
      <x:c r="E3" s="4" t="n"/>
      <x:c r="F3" s="4" t="n"/>
      <x:c r="G3" s="4" t="n"/>
    </x:row>
    <x:row r="4" ht="24" customHeight="1">
      <x:c r="A4" s="2" t="n"/>
      <x:c r="B4" s="2" t="n"/>
      <x:c r="C4" s="2" t="n"/>
      <x:c r="D4" s="2" t="n"/>
      <x:c r="E4" s="2" t="n"/>
      <x:c r="F4" s="2" t="n"/>
      <x:c r="G4" s="2" t="n"/>
    </x:row>
    <x:row r="5" ht="34" customHeight="1">
      <x:c r="A5" s="8" t="inlineStr">
        <x:is>
          <x:t xml:space="preserve">ID</x:t>
        </x:is>
      </x:c>
      <x:c r="B5" s="8" t="inlineStr">
        <x:is>
          <x:t xml:space="preserve">Workspace</x:t>
        </x:is>
      </x:c>
      <x:c r="C5" s="8" t="inlineStr">
        <x:is>
          <x:t xml:space="preserve">Chức năng</x:t>
        </x:is>
      </x:c>
      <x:c r="D5" s="8" t="inlineStr">
        <x:is>
          <x:t xml:space="preserve">Đạt (1/0)</x:t>
        </x:is>
      </x:c>
      <x:c r="E5" s="8" t="inlineStr">
        <x:is>
          <x:t xml:space="preserve">Điều kiện nghiệm thu</x:t>
        </x:is>
      </x:c>
      <x:c r="F5" s="8" t="inlineStr">
        <x:is>
          <x:t xml:space="preserve">Khoảng trống / hướng tiếp</x:t>
        </x:is>
      </x:c>
      <x:c r="G5" s="8" t="inlineStr">
        <x:is>
          <x:t xml:space="preserve">Nguồn scope</x:t>
        </x:is>
      </x:c>
    </x:row>
    <x:row r="6" ht="68" customHeight="1">
      <x:c r="A6" s="9" t="inlineStr">
        <x:is>
          <x:t xml:space="preserve">P1.01</x:t>
        </x:is>
      </x:c>
      <x:c r="B6" s="9" t="inlineStr">
        <x:is>
          <x:t xml:space="preserve">P1</x:t>
        </x:is>
      </x:c>
      <x:c r="C6" s="9" t="inlineStr">
        <x:is>
          <x:t xml:space="preserve">Dữ liệu &amp; target</x:t>
        </x:is>
      </x:c>
      <x:c r="D6" s="22" t="n">
        <x:v>1</x:v>
      </x:c>
      <x:c r="E6" s="9" t="inlineStr">
        <x:is>
          <x:t xml:space="preserve">Client/history counts reconcile; source ID không là predictor; tháng và missing sentinels có nghĩa rõ.</x:t>
        </x:is>
      </x:c>
      <x:c r="F6" s="9" t="inlineStr">
        <x:is>
          <x:t xml:space="preserve">Thêm cohort theo thời gian và nguồn phù hợp thị trường muốn triển khai.</x:t>
        </x:is>
      </x:c>
      <x:c r="G6" s="9" t="inlineStr">
        <x:is>
          <x:t xml:space="preserve">https://github.com/susayold/credit-atlas/blob/b997c20/docs/P1_DATA_TARGET_ACCEPTANCE_VI.md</x:t>
        </x:is>
      </x:c>
    </x:row>
    <x:row r="7" ht="68" customHeight="1">
      <x:c r="A7" s="10" t="inlineStr">
        <x:is>
          <x:t xml:space="preserve">P1.02</x:t>
        </x:is>
      </x:c>
      <x:c r="B7" s="10" t="inlineStr">
        <x:is>
          <x:t xml:space="preserve">P1</x:t>
        </x:is>
      </x:c>
      <x:c r="C7" s="10" t="inlineStr">
        <x:is>
          <x:t xml:space="preserve">Application underwriting</x:t>
        </x:is>
      </x:c>
      <x:c r="D7" s="23" t="n">
        <x:v>0</x:v>
      </x:c>
      <x:c r="E7" s="10" t="inlineStr">
        <x:is>
          <x:t xml:space="preserve">Không dùng bill/status sau booking làm approval-time feature; có OOT và intended-use review.</x:t>
        </x:is>
      </x:c>
      <x:c r="F7" s="10" t="inlineStr">
        <x:is>
          <x:t xml:space="preserve">Thiết kế application schema và lấy nguồn có quyền truy cập trước khi fit.</x:t>
        </x:is>
      </x:c>
      <x:c r="G7" s="10" t="inlineStr">
        <x:is>
          <x:t xml:space="preserve">https://github.com/susayold/credit-atlas/blob/b997c20/docs/COMPLETION_REQUIREMENTS_50.json</x:t>
        </x:is>
      </x:c>
    </x:row>
    <x:row r="8" ht="68" customHeight="1">
      <x:c r="A8" s="9" t="inlineStr">
        <x:is>
          <x:t xml:space="preserve">P1.03</x:t>
        </x:is>
      </x:c>
      <x:c r="B8" s="9" t="inlineStr">
        <x:is>
          <x:t xml:space="preserve">P1</x:t>
        </x:is>
      </x:c>
      <x:c r="C8" s="9" t="inlineStr">
        <x:is>
          <x:t xml:space="preserve">Behavioral model &amp; validation</x:t>
        </x:is>
      </x:c>
      <x:c r="D8" s="22" t="n">
        <x:v>1</x:v>
      </x:c>
      <x:c r="E8" s="9" t="inlineStr">
        <x:is>
          <x:t xml:space="preserve">Không tune trên final test; random split được ghi rõ; bin rỗng không vẽ thành zero.</x:t>
        </x:is>
      </x:c>
      <x:c r="F8" s="9" t="inlineStr">
        <x:is>
          <x:t xml:space="preserve">Thêm cohort ngoài thời gian; kiểm tra calibration theo population triển khai.</x:t>
        </x:is>
      </x:c>
      <x:c r="G8" s="9" t="inlineStr">
        <x:is>
          <x:t xml:space="preserve">https://github.com/susayold/credit-atlas/blob/b997c20/docs/P1_BEHAVIORAL_VALIDATION_ACCEPTANCE_VI.md</x:t>
        </x:is>
      </x:c>
    </x:row>
    <x:row r="9" ht="68" customHeight="1">
      <x:c r="A9" s="10" t="inlineStr">
        <x:is>
          <x:t xml:space="preserve">P1.04</x:t>
        </x:is>
      </x:c>
      <x:c r="B9" s="10" t="inlineStr">
        <x:is>
          <x:t xml:space="preserve">P1</x:t>
        </x:is>
      </x:c>
      <x:c r="C9" s="10" t="inlineStr">
        <x:is>
          <x:t xml:space="preserve">Decision policy</x:t>
        </x:is>
      </x:c>
      <x:c r="D9" s="23" t="n">
        <x:v>1</x:v>
      </x:c>
      <x:c r="E9" s="10" t="inlineStr">
        <x:is>
          <x:t xml:space="preserve">Không tự reassignment khi vượt capacity; cost units không tự gọi là cash loss; validation comparisons là exploratory.</x:t>
        </x:is>
      </x:c>
      <x:c r="F9" s="10" t="inlineStr">
        <x:is>
          <x:t xml:space="preserve">Đo chi phí vận hành thật, daily inflow và reject outcomes trước policy production.</x:t>
        </x:is>
      </x:c>
      <x:c r="G9" s="10" t="inlineStr">
        <x:is>
          <x:t xml:space="preserve">https://github.com/susayold/credit-atlas/blob/b997c20/docs/P1_POLICY_SUBGROUP_ACCEPTANCE_VI.md</x:t>
        </x:is>
      </x:c>
    </x:row>
    <x:row r="10" ht="68" customHeight="1">
      <x:c r="A10" s="9" t="inlineStr">
        <x:is>
          <x:t xml:space="preserve">P1.05</x:t>
        </x:is>
      </x:c>
      <x:c r="B10" s="9" t="inlineStr">
        <x:is>
          <x:t xml:space="preserve">P1</x:t>
        </x:is>
      </x:c>
      <x:c r="C10" s="9" t="inlineStr">
        <x:is>
          <x:t xml:space="preserve">Affordability</x:t>
        </x:is>
      </x:c>
      <x:c r="D10" s="22" t="n">
        <x:v>0</x:v>
      </x:c>
      <x:c r="E10" s="9" t="inlineStr">
        <x:is>
          <x:t xml:space="preserve">Không suy income từ credit limit; DTI phải ghi denominator, kỳ và policy threshold.</x:t>
        </x:is>
      </x:c>
      <x:c r="F10" s="9" t="inlineStr">
        <x:is>
          <x:t xml:space="preserve">Thêm intake income/cash-flow và debt-obligation schema.</x:t>
        </x:is>
      </x:c>
      <x:c r="G10" s="9" t="inlineStr">
        <x:is>
          <x:t xml:space="preserve">https://github.com/susayold/credit-atlas/blob/b997c20/docs/COMPLETION_REQUIREMENTS_50.json</x:t>
        </x:is>
      </x:c>
    </x:row>
    <x:row r="11" ht="68" customHeight="1">
      <x:c r="A11" s="10" t="inlineStr">
        <x:is>
          <x:t xml:space="preserve">P1.06</x:t>
        </x:is>
      </x:c>
      <x:c r="B11" s="10" t="inlineStr">
        <x:is>
          <x:t xml:space="preserve">P1</x:t>
        </x:is>
      </x:c>
      <x:c r="C11" s="10" t="inlineStr">
        <x:is>
          <x:t xml:space="preserve">Limit &amp; pricing</x:t>
        </x:is>
      </x:c>
      <x:c r="D11" s="23" t="n">
        <x:v>0</x:v>
      </x:c>
      <x:c r="E11" s="10" t="inlineStr">
        <x:is>
          <x:t xml:space="preserve">Không gọi price tối ưu khi thiếu cost/take-up evidence; không mượn PD khác target.</x:t>
        </x:is>
      </x:c>
      <x:c r="F11" s="10" t="inlineStr">
        <x:is>
          <x:t xml:space="preserve">Thu thập contract economics và thiết kế policy experiments.</x:t>
        </x:is>
      </x:c>
      <x:c r="G11" s="10" t="inlineStr">
        <x:is>
          <x:t xml:space="preserve">https://github.com/susayold/credit-atlas/blob/b997c20/docs/COMPLETION_REQUIREMENTS_50.json</x:t>
        </x:is>
      </x:c>
    </x:row>
    <x:row r="12" ht="68" customHeight="1">
      <x:c r="A12" s="9" t="inlineStr">
        <x:is>
          <x:t xml:space="preserve">P1.07</x:t>
        </x:is>
      </x:c>
      <x:c r="B12" s="9" t="inlineStr">
        <x:is>
          <x:t xml:space="preserve">P1</x:t>
        </x:is>
      </x:c>
      <x:c r="C12" s="9" t="inlineStr">
        <x:is>
          <x:t xml:space="preserve">Giải thích từng hồ sơ</x:t>
        </x:is>
      </x:c>
      <x:c r="D12" s="22" t="n">
        <x:v>1</x:v>
      </x:c>
      <x:c r="E12" s="9" t="inlineStr">
        <x:is>
          <x:t xml:space="preserve">Contributions cộng về prediction đúng tolerance; references/source pinned; không gọi là nguyên nhân hoặc adverse-action reason.</x:t>
        </x:is>
      </x:c>
      <x:c r="F12" s="9" t="inlineStr">
        <x:is>
          <x:t xml:space="preserve">Kiểm tra reference sensitivity và qualification trước scoring hồ sơ mới.</x:t>
        </x:is>
      </x:c>
      <x:c r="G12" s="9" t="inlineStr">
        <x:is>
          <x:t xml:space="preserve">https://github.com/susayold/credit-atlas/blob/b997c20/docs/P1_EXPLANATIONS_SAVED_ACCEPTANCE_VI.md</x:t>
        </x:is>
      </x:c>
    </x:row>
    <x:row r="13" ht="68" customHeight="1">
      <x:c r="A13" s="10" t="inlineStr">
        <x:is>
          <x:t xml:space="preserve">P1.08</x:t>
        </x:is>
      </x:c>
      <x:c r="B13" s="10" t="inlineStr">
        <x:is>
          <x:t xml:space="preserve">P1</x:t>
        </x:is>
      </x:c>
      <x:c r="C13" s="10" t="inlineStr">
        <x:is>
          <x:t xml:space="preserve">Collections workflow</x:t>
        </x:is>
      </x:c>
      <x:c r="D13" s="23" t="n">
        <x:v>0</x:v>
      </x:c>
      <x:c r="E13" s="10" t="inlineStr">
        <x:is>
          <x:t xml:space="preserve">Behavioral score không chứng minh uplift; không tạo SLA/contact events giả.</x:t>
        </x:is>
      </x:c>
      <x:c r="F13" s="10" t="inlineStr">
        <x:is>
          <x:t xml:space="preserve">Thêm event-level collections data và analyst case ownership.</x:t>
        </x:is>
      </x:c>
      <x:c r="G13" s="10" t="inlineStr">
        <x:is>
          <x:t xml:space="preserve">https://github.com/susayold/credit-atlas/blob/b997c20/docs/COMPLETION_REQUIREMENTS_50.json</x:t>
        </x:is>
      </x:c>
    </x:row>
    <x:row r="14" ht="68" customHeight="1">
      <x:c r="A14" s="9" t="inlineStr">
        <x:is>
          <x:t xml:space="preserve">P1.09</x:t>
        </x:is>
      </x:c>
      <x:c r="B14" s="9" t="inlineStr">
        <x:is>
          <x:t xml:space="preserve">P1</x:t>
        </x:is>
      </x:c>
      <x:c r="C14" s="9" t="inlineStr">
        <x:is>
          <x:t xml:space="preserve">Subgroup &amp; monitoring</x:t>
        </x:is>
      </x:c>
      <x:c r="D14" s="22" t="n">
        <x:v>1</x:v>
      </x:c>
      <x:c r="E14" s="9" t="inlineStr">
        <x:is>
          <x:t xml:space="preserve">Bỏ demographic predictors không chứng minh fairness; small groups không được gán ranking metrics; chưa có temporal drift.</x:t>
        </x:is>
      </x:c>
      <x:c r="F14" s="9" t="inlineStr">
        <x:is>
          <x:t xml:space="preserve">Thu thập monitoring cohorts theo thời gian và định nghĩa escalation thresholds.</x:t>
        </x:is>
      </x:c>
      <x:c r="G14" s="9" t="inlineStr">
        <x:is>
          <x:t xml:space="preserve">https://github.com/susayold/credit-atlas/blob/b997c20/docs/P1_POLICY_SUBGROUP_ACCEPTANCE_VI.md</x:t>
        </x:is>
      </x:c>
    </x:row>
    <x:row r="15" ht="68" customHeight="1">
      <x:c r="A15" s="10" t="inlineStr">
        <x:is>
          <x:t xml:space="preserve">P1.10</x:t>
        </x:is>
      </x:c>
      <x:c r="B15" s="10" t="inlineStr">
        <x:is>
          <x:t xml:space="preserve">P1</x:t>
        </x:is>
      </x:c>
      <x:c r="C15" s="10" t="inlineStr">
        <x:is>
          <x:t xml:space="preserve">Model evidence &amp; governance</x:t>
        </x:is>
      </x:c>
      <x:c r="D15" s="23" t="n">
        <x:v>1</x:v>
      </x:c>
      <x:c r="E15" s="10" t="inlineStr">
        <x:is>
          <x:t xml:space="preserve">Không refit/rescore khi mở màn; benchmark Taiwan không trở thành Vietnam PD; chưa có authenticated sign-off.</x:t>
        </x:is>
      </x:c>
      <x:c r="F15" s="10" t="inlineStr">
        <x:is>
          <x:t xml:space="preserve">Thêm model-review ownership, monitoring protocol và intended-use approval ngoài benchmark.</x:t>
        </x:is>
      </x:c>
      <x:c r="G15" s="10" t="inlineStr">
        <x:is>
          <x:t xml:space="preserve">https://github.com/susayold/credit-atlas/blob/b997c20/docs/P1_MODEL_DOSSIER_ACCEPTANCE_VI.md</x:t>
        </x:is>
      </x:c>
    </x:row>
    <x:row r="16" ht="68" customHeight="1">
      <x:c r="A16" s="9" t="inlineStr">
        <x:is>
          <x:t xml:space="preserve">P2.01</x:t>
        </x:is>
      </x:c>
      <x:c r="B16" s="9" t="inlineStr">
        <x:is>
          <x:t xml:space="preserve">P2</x:t>
        </x:is>
      </x:c>
      <x:c r="C16" s="9" t="inlineStr">
        <x:is>
          <x:t xml:space="preserve">Source &amp; run explorer</x:t>
        </x:is>
      </x:c>
      <x:c r="D16" s="22" t="n">
        <x:v>1</x:v>
      </x:c>
      <x:c r="E16" s="9" t="inlineStr">
        <x:is>
          <x:t xml:space="preserve">Không gọi sample50k là toàn thị trường; không thay extraction time bằng publication time.</x:t>
        </x:is>
      </x:c>
      <x:c r="F16" s="9" t="inlineStr">
        <x:is>
          <x:t xml:space="preserve">Thêm authorized annual vintages và reconcile từng acquisition.</x:t>
        </x:is>
      </x:c>
      <x:c r="G16" s="9" t="inlineStr">
        <x:is>
          <x:t xml:space="preserve">https://github.com/susayold/credit-atlas/blob/b997c20/docs/P2_SOURCE_RUN_ACCEPTANCE_VI.md</x:t>
        </x:is>
      </x:c>
    </x:row>
    <x:row r="17" ht="68" customHeight="1">
      <x:c r="A17" s="10" t="inlineStr">
        <x:is>
          <x:t xml:space="preserve">P2.02</x:t>
        </x:is>
      </x:c>
      <x:c r="B17" s="10" t="inlineStr">
        <x:is>
          <x:t xml:space="preserve">P2</x:t>
        </x:is>
      </x:c>
      <x:c r="C17" s="10" t="inlineStr">
        <x:is>
          <x:t xml:space="preserve">Panel quality</x:t>
        </x:is>
      </x:c>
      <x:c r="D17" s="23" t="n">
        <x:v>1</x:v>
      </x:c>
      <x:c r="E17" s="10" t="inlineStr">
        <x:is>
          <x:t xml:space="preserve">Unknown/gap không trở thành current; không nối qua khoảng thiếu dữ liệu.</x:t>
        </x:is>
      </x:c>
      <x:c r="F17" s="10" t="inlineStr">
        <x:is>
          <x:t xml:space="preserve">Thêm cross-vintage quality checks và source reconciliation mới.</x:t>
        </x:is>
      </x:c>
      <x:c r="G17" s="10" t="inlineStr">
        <x:is>
          <x:t xml:space="preserve">https://github.com/susayold/credit-atlas/blob/b997c20/docs/P2_PANEL_QUALITY_ACCEPTANCE_VI.md</x:t>
        </x:is>
      </x:c>
    </x:row>
    <x:row r="18" ht="68" customHeight="1">
      <x:c r="A18" s="9" t="inlineStr">
        <x:is>
          <x:t xml:space="preserve">P2.03</x:t>
        </x:is>
      </x:c>
      <x:c r="B18" s="9" t="inlineStr">
        <x:is>
          <x:t xml:space="preserve">P2</x:t>
        </x:is>
      </x:c>
      <x:c r="C18" s="9" t="inlineStr">
        <x:is>
          <x:t xml:space="preserve">Portfolio &amp; cohorts</x:t>
        </x:is>
      </x:c>
      <x:c r="D18" s="22" t="n">
        <x:v>1</x:v>
      </x:c>
      <x:c r="E18" s="9" t="inlineStr">
        <x:is>
          <x:t xml:space="preserve">Zero UPB giữ riêng; count và balance có denominator khác; không cộng duplicate loan-months thành unique loans.</x:t>
        </x:is>
      </x:c>
      <x:c r="F18" s="9" t="inlineStr">
        <x:is>
          <x:t xml:space="preserve">Bổ sung nhiều origination vintages và standardize composition comparisons.</x:t>
        </x:is>
      </x:c>
      <x:c r="G18" s="9" t="inlineStr">
        <x:is>
          <x:t xml:space="preserve">https://github.com/susayold/credit-atlas/blob/b997c20/docs/P2_PORTFOLIO_ACCEPTANCE_VI.md</x:t>
        </x:is>
      </x:c>
    </x:row>
    <x:row r="19" ht="68" customHeight="1">
      <x:c r="A19" s="10" t="inlineStr">
        <x:is>
          <x:t xml:space="preserve">P2.04</x:t>
        </x:is>
      </x:c>
      <x:c r="B19" s="10" t="inlineStr">
        <x:is>
          <x:t xml:space="preserve">P2</x:t>
        </x:is>
      </x:c>
      <x:c r="C19" s="10" t="inlineStr">
        <x:is>
          <x:t xml:space="preserve">Private loan lifecycle</x:t>
        </x:is>
      </x:c>
      <x:c r="D19" s="23" t="n">
        <x:v>1</x:v>
      </x:c>
      <x:c r="E19" s="10" t="inlineStr">
        <x:is>
          <x:t xml:space="preserve">Không lộ raw loan ID; không coi observed timeline là forecast; không backdate confirmation.</x:t>
        </x:is>
      </x:c>
      <x:c r="F19" s="10" t="inlineStr">
        <x:is>
          <x:t xml:space="preserve">Thêm search/paging lớn hơn và review gắn loan khi contract được chốt.</x:t>
        </x:is>
      </x:c>
      <x:c r="G19" s="10" t="inlineStr">
        <x:is>
          <x:t xml:space="preserve">https://github.com/susayold/credit-atlas/blob/b997c20/docs/P2_LIFECYCLE_ACCEPTANCE_VI.md</x:t>
        </x:is>
      </x:c>
    </x:row>
    <x:row r="20" ht="68" customHeight="1">
      <x:c r="A20" s="9" t="inlineStr">
        <x:is>
          <x:t xml:space="preserve">P2.05</x:t>
        </x:is>
      </x:c>
      <x:c r="B20" s="9" t="inlineStr">
        <x:is>
          <x:t xml:space="preserve">P2</x:t>
        </x:is>
      </x:c>
      <x:c r="C20" s="9" t="inlineStr">
        <x:is>
          <x:t xml:space="preserve">Transition matrix</x:t>
        </x:is>
      </x:c>
      <x:c r="D20" s="22" t="n">
        <x:v>1</x:v>
      </x:c>
      <x:c r="E20" s="9" t="inlineStr">
        <x:is>
          <x:t xml:space="preserve">Không nối gaps/terminal pairs sai; năm không có pairs giữ unavailable; lifetime comparator ghi rõ scope.</x:t>
        </x:is>
      </x:c>
      <x:c r="F20" s="9" t="inlineStr">
        <x:is>
          <x:t xml:space="preserve">Thêm temporal comparison và confidence intervals khi có đủ vintages.</x:t>
        </x:is>
      </x:c>
      <x:c r="G20" s="9" t="inlineStr">
        <x:is>
          <x:t xml:space="preserve">https://github.com/susayold/credit-atlas/blob/b997c20/docs/P2_TRANSITION_ACCEPTANCE_VI.md</x:t>
        </x:is>
      </x:c>
    </x:row>
    <x:row r="21" ht="68" customHeight="1">
      <x:c r="A21" s="10" t="inlineStr">
        <x:is>
          <x:t xml:space="preserve">P2.06</x:t>
        </x:is>
      </x:c>
      <x:c r="B21" s="10" t="inlineStr">
        <x:is>
          <x:t xml:space="preserve">P2</x:t>
        </x:is>
      </x:c>
      <x:c r="C21" s="10" t="inlineStr">
        <x:is>
          <x:t xml:space="preserve">Cure &amp; redefault</x:t>
        </x:is>
      </x:c>
      <x:c r="D21" s="23" t="n">
        <x:v>1</x:v>
      </x:c>
      <x:c r="E21" s="10" t="inlineStr">
        <x:is>
          <x:t xml:space="preserve">Gap/unknown phá linkage; terminal CURRENT không thành cure; follow-up thiếu không thành no-event.</x:t>
        </x:is>
      </x:c>
      <x:c r="F21" s="10" t="inlineStr">
        <x:is>
          <x:t xml:space="preserve">Đánh giá time-to-cure/redefault trên nhiều cohorts với censoring protocol.</x:t>
        </x:is>
      </x:c>
      <x:c r="G21" s="10" t="inlineStr">
        <x:is>
          <x:t xml:space="preserve">https://github.com/susayold/credit-atlas/blob/b997c20/docs/P2_CURE_ACCEPTANCE_VI.md</x:t>
        </x:is>
      </x:c>
    </x:row>
    <x:row r="22" ht="68" customHeight="1">
      <x:c r="A22" s="9" t="inlineStr">
        <x:is>
          <x:t xml:space="preserve">P2.07</x:t>
        </x:is>
      </x:c>
      <x:c r="B22" s="9" t="inlineStr">
        <x:is>
          <x:t xml:space="preserve">P2</x:t>
        </x:is>
      </x:c>
      <x:c r="C22" s="9" t="inlineStr">
        <x:is>
          <x:t xml:space="preserve">Competing outcomes</x:t>
        </x:is>
      </x:c>
      <x:c r="D22" s="22" t="n">
        <x:v>1</x:v>
      </x:c>
      <x:c r="E22" s="9" t="inlineStr">
        <x:is>
          <x:t xml:space="preserve">Không gọi horizon connector là monthly prediction; censored/unknown không thành negative.</x:t>
        </x:is>
      </x:c>
      <x:c r="F22" s="9" t="inlineStr">
        <x:is>
          <x:t xml:space="preserve">Thêm survival/competing-risk model khi temporal cohorts đạt gate.</x:t>
        </x:is>
      </x:c>
      <x:c r="G22" s="9" t="inlineStr">
        <x:is>
          <x:t xml:space="preserve">https://github.com/susayold/credit-atlas/blob/b997c20/docs/P2_COMPETING_ACCEPTANCE_VI.md</x:t>
        </x:is>
      </x:c>
    </x:row>
    <x:row r="23" ht="68" customHeight="1">
      <x:c r="A23" s="10" t="inlineStr">
        <x:is>
          <x:t xml:space="preserve">P2.08</x:t>
        </x:is>
      </x:c>
      <x:c r="B23" s="10" t="inlineStr">
        <x:is>
          <x:t xml:space="preserve">P2</x:t>
        </x:is>
      </x:c>
      <x:c r="C23" s="10" t="inlineStr">
        <x:is>
          <x:t xml:space="preserve">Horizon risk models</x:t>
        </x:is>
      </x:c>
      <x:c r="D23" s="23" t="n">
        <x:v>0</x:v>
      </x:c>
      <x:c r="E23" s="10" t="inlineStr">
        <x:is>
          <x:t xml:space="preserve">Một vintage2012 chưa đủ temporal evaluation; readiness screen không là qualified score.</x:t>
        </x:is>
      </x:c>
      <x:c r="F23" s="10" t="inlineStr">
        <x:is>
          <x:t xml:space="preserve">Tải thêm authorized vintages và chốt R2–R3 trong PLAN_MODULE_01.</x:t>
        </x:is>
      </x:c>
      <x:c r="G23" s="10" t="inlineStr">
        <x:is>
          <x:t xml:space="preserve">https://github.com/susayold/credit-atlas/blob/b997c20/docs/COMPLETION_REQUIREMENTS_50.json</x:t>
        </x:is>
      </x:c>
    </x:row>
    <x:row r="24" ht="68" customHeight="1">
      <x:c r="A24" s="9" t="inlineStr">
        <x:is>
          <x:t xml:space="preserve">P2.09</x:t>
        </x:is>
      </x:c>
      <x:c r="B24" s="9" t="inlineStr">
        <x:is>
          <x:t xml:space="preserve">P2</x:t>
        </x:is>
      </x:c>
      <x:c r="C24" s="9" t="inlineStr">
        <x:is>
          <x:t xml:space="preserve">Observed loss bridge</x:t>
        </x:is>
      </x:c>
      <x:c r="D24" s="22" t="n">
        <x:v>1</x:v>
      </x:c>
      <x:c r="E24" s="9" t="inlineStr">
        <x:is>
          <x:t xml:space="preserve">Không fill missing bằng zero; sample không representative LGD calibration; UPB không tự là economic loss.</x:t>
        </x:is>
      </x:c>
      <x:c r="F24" s="9" t="inlineStr">
        <x:is>
          <x:t xml:space="preserve">Thêm recovery timing/contract data và mature loss cohorts.</x:t>
        </x:is>
      </x:c>
      <x:c r="G24" s="9" t="inlineStr">
        <x:is>
          <x:t xml:space="preserve">https://github.com/susayold/credit-atlas/blob/b997c20/docs/P2_OBSERVED_LOSS_ACCEPTANCE_VI.md</x:t>
        </x:is>
      </x:c>
    </x:row>
    <x:row r="25" ht="68" customHeight="1">
      <x:c r="A25" s="10" t="inlineStr">
        <x:is>
          <x:t xml:space="preserve">P2.10</x:t>
        </x:is>
      </x:c>
      <x:c r="B25" s="10" t="inlineStr">
        <x:is>
          <x:t xml:space="preserve">P2</x:t>
        </x:is>
      </x:c>
      <x:c r="C25" s="10" t="inlineStr">
        <x:is>
          <x:t xml:space="preserve">Evidence &amp; review</x:t>
        </x:is>
      </x:c>
      <x:c r="D25" s="23" t="n">
        <x:v>1</x:v>
      </x:c>
      <x:c r="E25" s="10" t="inlineStr">
        <x:is>
          <x:t xml:space="preserve">Không sửa source bằng memo; reviewed không là authenticated bank approval.</x:t>
        </x:is>
      </x:c>
      <x:c r="F25" s="10" t="inlineStr">
        <x:is>
          <x:t xml:space="preserve">Thêm identity/roles và formal review policy khi triển khai nhóm.</x:t>
        </x:is>
      </x:c>
      <x:c r="G25" s="10" t="inlineStr">
        <x:is>
          <x:t xml:space="preserve">https://github.com/susayold/credit-atlas/blob/b997c20/docs/P2_FINDING_REVIEW_ACCEPTANCE_VI.md</x:t>
        </x:is>
      </x:c>
    </x:row>
    <x:row r="26" ht="68" customHeight="1">
      <x:c r="A26" s="9" t="inlineStr">
        <x:is>
          <x:t xml:space="preserve">P3.01</x:t>
        </x:is>
      </x:c>
      <x:c r="B26" s="9" t="inlineStr">
        <x:is>
          <x:t xml:space="preserve">P3</x:t>
        </x:is>
      </x:c>
      <x:c r="C26" s="9" t="inlineStr">
        <x:is>
          <x:t xml:space="preserve">SME source explorer</x:t>
        </x:is>
      </x:c>
      <x:c r="D26" s="22" t="n">
        <x:v>1</x:v>
      </x:c>
      <x:c r="E26" s="9" t="inlineStr">
        <x:is>
          <x:t xml:space="preserve">Không cộng files thành unique borrowers nếu chưa có identity; giữ EXEMPT/unknown/cancelled.</x:t>
        </x:is>
      </x:c>
      <x:c r="F26" s="9" t="inlineStr">
        <x:is>
          <x:t xml:space="preserve">Thêm historical snapshots và documented loan key qualification.</x:t>
        </x:is>
      </x:c>
      <x:c r="G26" s="9" t="inlineStr">
        <x:is>
          <x:t xml:space="preserve">https://github.com/susayold/credit-atlas/blob/b997c20/docs/P3_SBA_DESCRIPTIVE_ACCEPTANCE_VI.md</x:t>
        </x:is>
      </x:c>
    </x:row>
    <x:row r="27" ht="68" customHeight="1">
      <x:c r="A27" s="10" t="inlineStr">
        <x:is>
          <x:t xml:space="preserve">P3.02</x:t>
        </x:is>
      </x:c>
      <x:c r="B27" s="10" t="inlineStr">
        <x:is>
          <x:t xml:space="preserve">P3</x:t>
        </x:is>
      </x:c>
      <x:c r="C27" s="10" t="inlineStr">
        <x:is>
          <x:t xml:space="preserve">Financial normalization</x:t>
        </x:is>
      </x:c>
      <x:c r="D27" s="23" t="n">
        <x:v>1</x:v>
      </x:c>
      <x:c r="E27" s="10" t="inlineStr">
        <x:is>
          <x:t xml:space="preserve">Không ghép quarterly/YTD thành annual theo fiscal-year label; conflicts không chọn alias đẹp hơn.</x:t>
        </x:is>
      </x:c>
      <x:c r="F27" s="10" t="inlineStr">
        <x:is>
          <x:t xml:space="preserve">Mở rộng issuer/taxonomy mapping và kiểm tra historical availability.</x:t>
        </x:is>
      </x:c>
      <x:c r="G27" s="10" t="inlineStr">
        <x:is>
          <x:t xml:space="preserve">https://github.com/susayold/credit-atlas/blob/b997c20/docs/P3_SEC_NORMALIZATION_ACCEPTANCE_VI.md</x:t>
        </x:is>
      </x:c>
    </x:row>
    <x:row r="28" ht="68" customHeight="1">
      <x:c r="A28" s="9" t="inlineStr">
        <x:is>
          <x:t xml:space="preserve">P3.03</x:t>
        </x:is>
      </x:c>
      <x:c r="B28" s="9" t="inlineStr">
        <x:is>
          <x:t xml:space="preserve">P3</x:t>
        </x:is>
      </x:c>
      <x:c r="C28" s="9" t="inlineStr">
        <x:is>
          <x:t xml:space="preserve">Financial ratio analysis</x:t>
        </x:is>
      </x:c>
      <x:c r="D28" s="22" t="n">
        <x:v>1</x:v>
      </x:c>
      <x:c r="E28" s="9" t="inlineStr">
        <x:is>
          <x:t xml:space="preserve">Amendments giữ riêng; không skip gaps/concept changes; không đổi cash interest thành expense; operating-income/OCF proxies chưa là EBIT ICR, DSCR hoặc covenant.</x:t>
        </x:is>
      </x:c>
      <x:c r="F28" s="9" t="inlineStr">
        <x:is>
          <x:t xml:space="preserve">Thêm borrower debt-service/covenant inputs và peer/sector comparisons có consistent accounting scope.</x:t>
        </x:is>
      </x:c>
      <x:c r="G28" s="9" t="inlineStr">
        <x:is>
          <x:t xml:space="preserve">https://github.com/susayold/credit-atlas/blob/b997c20/docs/P3_RATIO_ANALYSIS_ACCEPTANCE_VI.md</x:t>
        </x:is>
      </x:c>
    </x:row>
    <x:row r="29" ht="68" customHeight="1">
      <x:c r="A29" s="10" t="inlineStr">
        <x:is>
          <x:t xml:space="preserve">P3.04</x:t>
        </x:is>
      </x:c>
      <x:c r="B29" s="10" t="inlineStr">
        <x:is>
          <x:t xml:space="preserve">P3</x:t>
        </x:is>
      </x:c>
      <x:c r="C29" s="10" t="inlineStr">
        <x:is>
          <x:t xml:space="preserve">Bankruptcy benchmark</x:t>
        </x:is>
      </x:c>
      <x:c r="D29" s="23" t="n">
        <x:v>1</x:v>
      </x:c>
      <x:c r="E29" s="10" t="inlineStr">
        <x:is>
          <x:t xml:space="preserve">Không pool five horizons thành một PD; thiếu firm IDs/publication dates nên chưa entity-disjoint/OOT.</x:t>
        </x:is>
      </x:c>
      <x:c r="F29" s="10" t="inlineStr">
        <x:is>
          <x:t xml:space="preserve">Thu thập identified dated statements cho deployed corporate-risk study.</x:t>
        </x:is>
      </x:c>
      <x:c r="G29" s="10" t="inlineStr">
        <x:is>
          <x:t xml:space="preserve">https://github.com/susayold/credit-atlas/blob/b997c20/docs/P3_BANKRUPTCY_BENCHMARK_ACCEPTANCE_VI.md</x:t>
        </x:is>
      </x:c>
    </x:row>
    <x:row r="30" ht="68" customHeight="1">
      <x:c r="A30" s="9" t="inlineStr">
        <x:is>
          <x:t xml:space="preserve">P3.05</x:t>
        </x:is>
      </x:c>
      <x:c r="B30" s="9" t="inlineStr">
        <x:is>
          <x:t xml:space="preserve">P3</x:t>
        </x:is>
      </x:c>
      <x:c r="C30" s="9" t="inlineStr">
        <x:is>
          <x:t xml:space="preserve">SBA outcomes &amp; cohorts</x:t>
        </x:is>
      </x:c>
      <x:c r="D30" s="22" t="n">
        <x:v>1</x:v>
      </x:c>
      <x:c r="E30" s="9" t="inlineStr">
        <x:is>
          <x:t xml:space="preserve">Terminal snapshot không là fixed-horizon PD; post-outcome fields không làm approval predictors.</x:t>
        </x:is>
      </x:c>
      <x:c r="F30" s="9" t="inlineStr">
        <x:is>
          <x:t xml:space="preserve">Thêm longitudinal status dates/coverage trước survival or default modeling.</x:t>
        </x:is>
      </x:c>
      <x:c r="G30" s="9" t="inlineStr">
        <x:is>
          <x:t xml:space="preserve">https://github.com/susayold/credit-atlas/blob/b997c20/docs/P3_SBA_DESCRIPTIVE_ACCEPTANCE_VI.md</x:t>
        </x:is>
      </x:c>
    </x:row>
    <x:row r="31" ht="68" customHeight="1">
      <x:c r="A31" s="10" t="inlineStr">
        <x:is>
          <x:t xml:space="preserve">P3.06</x:t>
        </x:is>
      </x:c>
      <x:c r="B31" s="10" t="inlineStr">
        <x:is>
          <x:t xml:space="preserve">P3</x:t>
        </x:is>
      </x:c>
      <x:c r="C31" s="10" t="inlineStr">
        <x:is>
          <x:t xml:space="preserve">Corporate credit memo</x:t>
        </x:is>
      </x:c>
      <x:c r="D31" s="23" t="n">
        <x:v>1</x:v>
      </x:c>
      <x:c r="E31" s="10" t="inlineStr">
        <x:is>
          <x:t xml:space="preserve">Reviewed là self-declared analyst status; không issuer PD hoặc credit approval; thiếu source mới không ghi đè capture cũ.</x:t>
        </x:is>
      </x:c>
      <x:c r="F31" s="10" t="inlineStr">
        <x:is>
          <x:t xml:space="preserve">Thêm issuer-event sources và borrower debt/covenant inputs cho complete credit memo.</x:t>
        </x:is>
      </x:c>
      <x:c r="G31" s="10" t="inlineStr">
        <x:is>
          <x:t xml:space="preserve">https://github.com/susayold/credit-atlas/blob/b997c20/docs/P3_CORPORATE_MEMO_ACCEPTANCE_VI.md</x:t>
        </x:is>
      </x:c>
    </x:row>
    <x:row r="32" ht="68" customHeight="1">
      <x:c r="A32" s="9" t="inlineStr">
        <x:is>
          <x:t xml:space="preserve">P3.07</x:t>
        </x:is>
      </x:c>
      <x:c r="B32" s="9" t="inlineStr">
        <x:is>
          <x:t xml:space="preserve">P3</x:t>
        </x:is>
      </x:c>
      <x:c r="C32" s="9" t="inlineStr">
        <x:is>
          <x:t xml:space="preserve">Covenant workbench</x:t>
        </x:is>
      </x:c>
      <x:c r="D32" s="22" t="n">
        <x:v>0</x:v>
      </x:c>
      <x:c r="E32" s="9" t="inlineStr">
        <x:is>
          <x:t xml:space="preserve">Thiếu terms thì không gắn actual breach badge; SEC generic ratios không thay contract definitions.</x:t>
        </x:is>
      </x:c>
      <x:c r="F32" s="9" t="inlineStr">
        <x:is>
          <x:t xml:space="preserve">Tạo covenant-term intake và source-backed adjustment ledger.</x:t>
        </x:is>
      </x:c>
      <x:c r="G32" s="9" t="inlineStr">
        <x:is>
          <x:t xml:space="preserve">https://github.com/susayold/credit-atlas/blob/b997c20/docs/COMPLETION_REQUIREMENTS_50.json</x:t>
        </x:is>
      </x:c>
    </x:row>
    <x:row r="33" ht="68" customHeight="1">
      <x:c r="A33" s="10" t="inlineStr">
        <x:is>
          <x:t xml:space="preserve">P3.08</x:t>
        </x:is>
      </x:c>
      <x:c r="B33" s="10" t="inlineStr">
        <x:is>
          <x:t xml:space="preserve">P3</x:t>
        </x:is>
      </x:c>
      <x:c r="C33" s="10" t="inlineStr">
        <x:is>
          <x:t xml:space="preserve">Debt &amp; cash-flow schedule</x:t>
        </x:is>
      </x:c>
      <x:c r="D33" s="23" t="n">
        <x:v>0</x:v>
      </x:c>
      <x:c r="E33" s="10" t="inlineStr">
        <x:is>
          <x:t xml:space="preserve">Principal buckets không là exact payment dates, carrying debt, EAD hoặc DSCR; after-year-five open ended; debt/lease families không cộng overlap.</x:t>
        </x:is>
      </x:c>
      <x:c r="F33" s="10" t="inlineStr">
        <x:is>
          <x:t xml:space="preserve">Thu thập instrument/facility terms, actual payment dates và interest/cash-flow inputs; qualify full debt-service schedule và covenant definitions khi inputs available.</x:t>
        </x:is>
      </x:c>
      <x:c r="G33" s="10" t="inlineStr">
        <x:is>
          <x:t xml:space="preserve">https://github.com/susayold/credit-atlas/blob/b997c20/docs/COMPLETION_REQUIREMENTS_50.json</x:t>
        </x:is>
      </x:c>
    </x:row>
    <x:row r="34" ht="68" customHeight="1">
      <x:c r="A34" s="9" t="inlineStr">
        <x:is>
          <x:t xml:space="preserve">P3.09</x:t>
        </x:is>
      </x:c>
      <x:c r="B34" s="9" t="inlineStr">
        <x:is>
          <x:t xml:space="preserve">P3</x:t>
        </x:is>
      </x:c>
      <x:c r="C34" s="9" t="inlineStr">
        <x:is>
          <x:t xml:space="preserve">Sector &amp; concentration</x:t>
        </x:is>
      </x:c>
      <x:c r="D34" s="22" t="n">
        <x:v>1</x:v>
      </x:c>
      <x:c r="E34" s="9" t="inlineStr">
        <x:is>
          <x:t xml:space="preserve">Booked SBA program không đại diện toàn bộ SME economy; approval amount không tự là EAD.</x:t>
        </x:is>
      </x:c>
      <x:c r="F34" s="9" t="inlineStr">
        <x:is>
          <x:t xml:space="preserve">Thêm comparable time snapshots và concentration uncertainty/support.</x:t>
        </x:is>
      </x:c>
      <x:c r="G34" s="9" t="inlineStr">
        <x:is>
          <x:t xml:space="preserve">https://github.com/susayold/credit-atlas/blob/b997c20/docs/P3_SBA_DESCRIPTIVE_ACCEPTANCE_VI.md</x:t>
        </x:is>
      </x:c>
    </x:row>
    <x:row r="35" ht="68" customHeight="1">
      <x:c r="A35" s="10" t="inlineStr">
        <x:is>
          <x:t xml:space="preserve">P3.10</x:t>
        </x:is>
      </x:c>
      <x:c r="B35" s="10" t="inlineStr">
        <x:is>
          <x:t xml:space="preserve">P3</x:t>
        </x:is>
      </x:c>
      <x:c r="C35" s="10" t="inlineStr">
        <x:is>
          <x:t xml:space="preserve">Business review/export</x:t>
        </x:is>
      </x:c>
      <x:c r="D35" s="23" t="n">
        <x:v>1</x:v>
      </x:c>
      <x:c r="E35" s="10" t="inlineStr">
        <x:is>
          <x:t xml:space="preserve">Không fuzzy-match SBA name với SEC để tạo labels; không trộn reporting grains; owner chưa authenticated.</x:t>
        </x:is>
      </x:c>
      <x:c r="F35" s="10" t="inlineStr">
        <x:is>
          <x:t xml:space="preserve">Thêm reviewer workflow/issuer events và scoped business handoff khi có inputs.</x:t>
        </x:is>
      </x:c>
      <x:c r="G35" s="10" t="inlineStr">
        <x:is>
          <x:t xml:space="preserve">https://github.com/susayold/credit-atlas/blob/b997c20/docs/P3_BUSINESS_REVIEW_EXPORT_ACCEPTANCE_VI.md</x:t>
        </x:is>
      </x:c>
    </x:row>
    <x:row r="36" ht="68" customHeight="1">
      <x:c r="A36" s="9" t="inlineStr">
        <x:is>
          <x:t xml:space="preserve">P4.01</x:t>
        </x:is>
      </x:c>
      <x:c r="B36" s="9" t="inlineStr">
        <x:is>
          <x:t xml:space="preserve">P4</x:t>
        </x:is>
      </x:c>
      <x:c r="C36" s="9" t="inlineStr">
        <x:is>
          <x:t xml:space="preserve">Typed exposure &amp; Excel intake</x:t>
        </x:is>
      </x:c>
      <x:c r="D36" s="22" t="n">
        <x:v>1</x:v>
      </x:c>
      <x:c r="E36" s="9" t="inlineStr">
        <x:is>
          <x:t xml:space="preserve">File≤20MB/50000positions; formula inputs/unsafe numeric precision bị reject; missing risk không thành zero.</x:t>
        </x:is>
      </x:c>
      <x:c r="F36" s="9" t="inlineStr">
        <x:is>
          <x:t xml:space="preserve">Thêm column mapping theo source/facility và domain-specific Excel templates.</x:t>
        </x:is>
      </x:c>
      <x:c r="G36" s="9" t="inlineStr">
        <x:is>
          <x:t xml:space="preserve">https://github.com/susayold/credit-atlas/blob/b997c20/docs/P4_INTAKE_CONCENTRATION_ACCEPTANCE_VI.md</x:t>
        </x:is>
      </x:c>
    </x:row>
    <x:row r="37" ht="68" customHeight="1">
      <x:c r="A37" s="10" t="inlineStr">
        <x:is>
          <x:t xml:space="preserve">P4.02</x:t>
        </x:is>
      </x:c>
      <x:c r="B37" s="10" t="inlineStr">
        <x:is>
          <x:t xml:space="preserve">P4</x:t>
        </x:is>
      </x:c>
      <x:c r="C37" s="10" t="inlineStr">
        <x:is>
          <x:t xml:space="preserve">Reconcile &amp; concentration</x:t>
        </x:is>
      </x:c>
      <x:c r="D37" s="23" t="n">
        <x:v>1</x:v>
      </x:c>
      <x:c r="E37" s="10" t="inlineStr">
        <x:is>
          <x:t xml:space="preserve">Không cộng cross-currency; source observations không tự là borrower concentration; reported amount khác EAD.</x:t>
        </x:is>
      </x:c>
      <x:c r="F37" s="10" t="inlineStr">
        <x:is>
          <x:t xml:space="preserve">Thêm obligor/group identity và explicit FX policy nếu cần global totals.</x:t>
        </x:is>
      </x:c>
      <x:c r="G37" s="10" t="inlineStr">
        <x:is>
          <x:t xml:space="preserve">https://github.com/susayold/credit-atlas/blob/b997c20/docs/P4_INTAKE_CONCENTRATION_ACCEPTANCE_VI.md</x:t>
        </x:is>
      </x:c>
    </x:row>
    <x:row r="38" ht="68" customHeight="1">
      <x:c r="A38" s="9" t="inlineStr">
        <x:is>
          <x:t xml:space="preserve">P4.03</x:t>
        </x:is>
      </x:c>
      <x:c r="B38" s="9" t="inlineStr">
        <x:is>
          <x:t xml:space="preserve">P4</x:t>
        </x:is>
      </x:c>
      <x:c r="C38" s="9" t="inlineStr">
        <x:is>
          <x:t xml:space="preserve">Research expected loss</x:t>
        </x:is>
      </x:c>
      <x:c r="D38" s="22" t="n">
        <x:v>0</x:v>
      </x:c>
      <x:c r="E38" s="9" t="inlineStr">
        <x:is>
          <x:t xml:space="preserve">Không mượn PD khác target; actual source import vẫn EL unavailable nếu không có risk inputs.</x:t>
        </x:is>
      </x:c>
      <x:c r="F38" s="9" t="inlineStr">
        <x:is>
          <x:t xml:space="preserve">Thêm calibrated probability/recovery evidence và documented economic exposure.</x:t>
        </x:is>
      </x:c>
      <x:c r="G38" s="9" t="inlineStr">
        <x:is>
          <x:t xml:space="preserve">https://github.com/susayold/credit-atlas/blob/b997c20/docs/COMPLETION_REQUIREMENTS_50.json</x:t>
        </x:is>
      </x:c>
    </x:row>
    <x:row r="39" ht="68" customHeight="1">
      <x:c r="A39" s="10" t="inlineStr">
        <x:is>
          <x:t xml:space="preserve">P4.04</x:t>
        </x:is>
      </x:c>
      <x:c r="B39" s="10" t="inlineStr">
        <x:is>
          <x:t xml:space="preserve">P4</x:t>
        </x:is>
      </x:c>
      <x:c r="C39" s="10" t="inlineStr">
        <x:is>
          <x:t xml:space="preserve">ECL &amp; staging</x:t>
        </x:is>
      </x:c>
      <x:c r="D39" s="23" t="n">
        <x:v>0</x:v>
      </x:c>
      <x:c r="E39" s="10" t="inlineStr">
        <x:is>
          <x:t xml:space="preserve">Bullet/EIR/recovery terms hiện minh họa; stage3/POCI/revolving policies không mặc định supported; chưa accounting compliance.</x:t>
        </x:is>
      </x:c>
      <x:c r="F39" s="10" t="inlineStr">
        <x:is>
          <x:t xml:space="preserve">Thu thập actual contract/EIR/risk evidence; review staging và recovery policy.</x:t>
        </x:is>
      </x:c>
      <x:c r="G39" s="10" t="inlineStr">
        <x:is>
          <x:t xml:space="preserve">https://github.com/susayold/credit-atlas/blob/b997c20/docs/COMPLETION_REQUIREMENTS_50.json</x:t>
        </x:is>
      </x:c>
    </x:row>
    <x:row r="40" ht="68" customHeight="1">
      <x:c r="A40" s="9" t="inlineStr">
        <x:is>
          <x:t xml:space="preserve">P4.05</x:t>
        </x:is>
      </x:c>
      <x:c r="B40" s="9" t="inlineStr">
        <x:is>
          <x:t xml:space="preserve">P4</x:t>
        </x:is>
      </x:c>
      <x:c r="C40" s="9" t="inlineStr">
        <x:is>
          <x:t xml:space="preserve">Scenario &amp; stress</x:t>
        </x:is>
      </x:c>
      <x:c r="D40" s="22" t="n">
        <x:v>0</x:v>
      </x:c>
      <x:c r="E40" s="9" t="inlineStr">
        <x:is>
          <x:t xml:space="preserve">Không gọi macro-calibrated stress khi chỉ có assumptions; excluded positions không bị gán zero loss.</x:t>
        </x:is>
      </x:c>
      <x:c r="F40" s="9" t="inlineStr">
        <x:is>
          <x:t xml:space="preserve">Estimate response functions từ suitable time data và validation protocol.</x:t>
        </x:is>
      </x:c>
      <x:c r="G40" s="9" t="inlineStr">
        <x:is>
          <x:t xml:space="preserve">https://github.com/susayold/credit-atlas/blob/b997c20/docs/COMPLETION_REQUIREMENTS_50.json</x:t>
        </x:is>
      </x:c>
    </x:row>
    <x:row r="41" ht="68" customHeight="1">
      <x:c r="A41" s="10" t="inlineStr">
        <x:is>
          <x:t xml:space="preserve">P4.06</x:t>
        </x:is>
      </x:c>
      <x:c r="B41" s="10" t="inlineStr">
        <x:is>
          <x:t xml:space="preserve">P4</x:t>
        </x:is>
      </x:c>
      <x:c r="C41" s="10" t="inlineStr">
        <x:is>
          <x:t xml:space="preserve">Movement bridge</x:t>
        </x:is>
      </x:c>
      <x:c r="D41" s="23" t="n">
        <x:v>1</x:v>
      </x:c>
      <x:c r="E41" s="10" t="inlineStr">
        <x:is>
          <x:t xml:space="preserve">Missing record không là default/payoff; currency migration không là FX P&amp;L; residual phải giữ rõ.</x:t>
        </x:is>
      </x:c>
      <x:c r="F41" s="10" t="inlineStr">
        <x:is>
          <x:t xml:space="preserve">Thêm disposition reasons và better source linkage khi có evidence.</x:t>
        </x:is>
      </x:c>
      <x:c r="G41" s="10" t="inlineStr">
        <x:is>
          <x:t xml:space="preserve">https://github.com/susayold/credit-atlas/blob/b997c20/docs/P4_MOVEMENT_BRIDGE_ACCEPTANCE_VI.md</x:t>
        </x:is>
      </x:c>
    </x:row>
    <x:row r="42" ht="68" customHeight="1">
      <x:c r="A42" s="9" t="inlineStr">
        <x:is>
          <x:t xml:space="preserve">P4.07</x:t>
        </x:is>
      </x:c>
      <x:c r="B42" s="9" t="inlineStr">
        <x:is>
          <x:t xml:space="preserve">P4</x:t>
        </x:is>
      </x:c>
      <x:c r="C42" s="9" t="inlineStr">
        <x:is>
          <x:t xml:space="preserve">Tail risk &amp; concentration</x:t>
        </x:is>
      </x:c>
      <x:c r="D42" s="22" t="n">
        <x:v>0</x:v>
      </x:c>
      <x:c r="E42" s="9" t="inlineStr">
        <x:is>
          <x:t xml:space="preserve">Correlation/recovery chưa calibrated; thiếu obligor linkage; finite tails/CI unavailable giữ đúng; chưa capital approval.</x:t>
        </x:is>
      </x:c>
      <x:c r="F42" s="9" t="inlineStr">
        <x:is>
          <x:t xml:space="preserve">Thêm calibrated dependence, group linkage và production convergence thresholds.</x:t>
        </x:is>
      </x:c>
      <x:c r="G42" s="9" t="inlineStr">
        <x:is>
          <x:t xml:space="preserve">https://github.com/susayold/credit-atlas/blob/b997c20/docs/COMPLETION_REQUIREMENTS_50.json</x:t>
        </x:is>
      </x:c>
    </x:row>
    <x:row r="43" ht="68" customHeight="1">
      <x:c r="A43" s="10" t="inlineStr">
        <x:is>
          <x:t xml:space="preserve">P4.08</x:t>
        </x:is>
      </x:c>
      <x:c r="B43" s="10" t="inlineStr">
        <x:is>
          <x:t xml:space="preserve">P4</x:t>
        </x:is>
      </x:c>
      <x:c r="C43" s="10" t="inlineStr">
        <x:is>
          <x:t xml:space="preserve">Bank observatory</x:t>
        </x:is>
      </x:c>
      <x:c r="D43" s="23" t="n">
        <x:v>0</x:v>
      </x:c>
      <x:c r="E43" s="10" t="inlineStr">
        <x:is>
          <x:t xml:space="preserve">USD thousand giữ đúng; institution event không là borrower default; reporting date không tự là availability date.</x:t>
        </x:is>
      </x:c>
      <x:c r="F43" s="10" t="inlineStr">
        <x:is>
          <x:t xml:space="preserve">Thêm publication lags và stress linkage theo bank contracts.</x:t>
        </x:is>
      </x:c>
      <x:c r="G43" s="10" t="inlineStr">
        <x:is>
          <x:t xml:space="preserve">https://github.com/susayold/credit-atlas/blob/b997c20/docs/COMPLETION_REQUIREMENTS_50.json</x:t>
        </x:is>
      </x:c>
    </x:row>
    <x:row r="44" ht="68" customHeight="1">
      <x:c r="A44" s="9" t="inlineStr">
        <x:is>
          <x:t xml:space="preserve">P4.09</x:t>
        </x:is>
      </x:c>
      <x:c r="B44" s="9" t="inlineStr">
        <x:is>
          <x:t xml:space="preserve">P4</x:t>
        </x:is>
      </x:c>
      <x:c r="C44" s="9" t="inlineStr">
        <x:is>
          <x:t xml:space="preserve">Country observatory</x:t>
        </x:is>
      </x:c>
      <x:c r="D44" s="22" t="n">
        <x:v>0</x:v>
      </x:c>
      <x:c r="E44" s="9" t="inlineStr">
        <x:is>
          <x:t xml:space="preserve">Không thay missing bằng latest; ratio không cộng thành tổng; current region/income labels không historical classification.</x:t>
        </x:is>
      </x:c>
      <x:c r="F44" s="9" t="inlineStr">
        <x:is>
          <x:t xml:space="preserve">Thêm debt/default/availability sources và documented macro stress linkage.</x:t>
        </x:is>
      </x:c>
      <x:c r="G44" s="9" t="inlineStr">
        <x:is>
          <x:t xml:space="preserve">https://github.com/susayold/credit-atlas/blob/b997c20/docs/COMPLETION_REQUIREMENTS_50.json</x:t>
        </x:is>
      </x:c>
    </x:row>
    <x:row r="45" ht="68" customHeight="1">
      <x:c r="A45" s="10" t="inlineStr">
        <x:is>
          <x:t xml:space="preserve">P4.10</x:t>
        </x:is>
      </x:c>
      <x:c r="B45" s="10" t="inlineStr">
        <x:is>
          <x:t xml:space="preserve">P4</x:t>
        </x:is>
      </x:c>
      <x:c r="C45" s="10" t="inlineStr">
        <x:is>
          <x:t xml:space="preserve">Finance review package</x:t>
        </x:is>
      </x:c>
      <x:c r="D45" s="23" t="n">
        <x:v>0</x:v>
      </x:c>
      <x:c r="E45" s="10" t="inlineStr">
        <x:is>
          <x:t xml:space="preserve">Reviewed không là human-authenticated sign-off; Excel notes không ghi ngược app; source values không bị sửa bởi memo.</x:t>
        </x:is>
      </x:c>
      <x:c r="F45" s="10" t="inlineStr">
        <x:is>
          <x:t xml:space="preserve">Thêm authenticated reviewer roles và formal review policy.</x:t>
        </x:is>
      </x:c>
      <x:c r="G45" s="10" t="inlineStr">
        <x:is>
          <x:t xml:space="preserve">https://github.com/susayold/credit-atlas/blob/b997c20/docs/COMPLETION_REQUIREMENTS_50.json</x:t>
        </x:is>
      </x:c>
    </x:row>
    <x:row r="46" ht="68" customHeight="1">
      <x:c r="A46" s="9" t="inlineStr">
        <x:is>
          <x:t xml:space="preserve">P5.01</x:t>
        </x:is>
      </x:c>
      <x:c r="B46" s="9" t="inlineStr">
        <x:is>
          <x:t xml:space="preserve">P5</x:t>
        </x:is>
      </x:c>
      <x:c r="C46" s="9" t="inlineStr">
        <x:is>
          <x:t xml:space="preserve">Deal &amp; terms catalog</x:t>
        </x:is>
      </x:c>
      <x:c r="D46" s="22" t="n">
        <x:v>0</x:v>
      </x:c>
      <x:c r="E46" s="9" t="inlineStr">
        <x:is>
          <x:t xml:space="preserve">Chưa xác minh đầy đủ agreements/amendments/legal state; terms không mặc định full contractual waterfall.</x:t>
        </x:is>
      </x:c>
      <x:c r="F46" s="9" t="inlineStr">
        <x:is>
          <x:t xml:space="preserve">Thu thập complete agreements, amendments và term extraction review.</x:t>
        </x:is>
      </x:c>
      <x:c r="G46" s="9" t="inlineStr">
        <x:is>
          <x:t xml:space="preserve">https://github.com/susayold/credit-atlas/blob/b997c20/docs/COMPLETION_REQUIREMENTS_50.json</x:t>
        </x:is>
      </x:c>
    </x:row>
    <x:row r="47" ht="68" customHeight="1">
      <x:c r="A47" s="10" t="inlineStr">
        <x:is>
          <x:t xml:space="preserve">P5.02</x:t>
        </x:is>
      </x:c>
      <x:c r="B47" s="10" t="inlineStr">
        <x:is>
          <x:t xml:space="preserve">P5</x:t>
        </x:is>
      </x:c>
      <x:c r="C47" s="10" t="inlineStr">
        <x:is>
          <x:t xml:space="preserve">Collateral pool</x:t>
        </x:is>
      </x:c>
      <x:c r="D47" s="23" t="n">
        <x:v>0</x:v>
      </x:c>
      <x:c r="E47" s="10" t="inlineStr">
        <x:is>
          <x:t xml:space="preserve">Aggregate pool reports không là asset-level persistent panel; Ginnie/ABS-EE loan-level tracks còn thiếu.</x:t>
        </x:is>
      </x:c>
      <x:c r="F47" s="10" t="inlineStr">
        <x:is>
          <x:t xml:space="preserve">Thêm deal-specific asset IDs/schema và collateral-history adapter.</x:t>
        </x:is>
      </x:c>
      <x:c r="G47" s="10" t="inlineStr">
        <x:is>
          <x:t xml:space="preserve">https://github.com/susayold/credit-atlas/blob/b997c20/docs/COMPLETION_REQUIREMENTS_50.json</x:t>
        </x:is>
      </x:c>
    </x:row>
    <x:row r="48" ht="68" customHeight="1">
      <x:c r="A48" s="9" t="inlineStr">
        <x:is>
          <x:t xml:space="preserve">P5.03</x:t>
        </x:is>
      </x:c>
      <x:c r="B48" s="9" t="inlineStr">
        <x:is>
          <x:t xml:space="preserve">P5</x:t>
        </x:is>
      </x:c>
      <x:c r="C48" s="9" t="inlineStr">
        <x:is>
          <x:t xml:space="preserve">Cash-flow projection</x:t>
        </x:is>
      </x:c>
      <x:c r="D48" s="22" t="n">
        <x:v>0</x:v>
      </x:c>
      <x:c r="E48" s="9" t="inlineStr">
        <x:is>
          <x:t xml:space="preserve">Reported history không được gọi là projection; chưa có complete collateral contracts.</x:t>
        </x:is>
      </x:c>
      <x:c r="F48" s="9" t="inlineStr">
        <x:is>
          <x:t xml:space="preserve">Thiết kế collateral schedule intake và calibrate suitable behavior models.</x:t>
        </x:is>
      </x:c>
      <x:c r="G48" s="9" t="inlineStr">
        <x:is>
          <x:t xml:space="preserve">https://github.com/susayold/credit-atlas/blob/b997c20/docs/COMPLETION_REQUIREMENTS_50.json</x:t>
        </x:is>
      </x:c>
    </x:row>
    <x:row r="49" ht="68" customHeight="1">
      <x:c r="A49" s="10" t="inlineStr">
        <x:is>
          <x:t xml:space="preserve">P5.04</x:t>
        </x:is>
      </x:c>
      <x:c r="B49" s="10" t="inlineStr">
        <x:is>
          <x:t xml:space="preserve">P5</x:t>
        </x:is>
      </x:c>
      <x:c r="C49" s="10" t="inlineStr">
        <x:is>
          <x:t xml:space="preserve">Sequential waterfall</x:t>
        </x:is>
      </x:c>
      <x:c r="D49" s="23" t="n">
        <x:v>0</x:v>
      </x:c>
      <x:c r="E49" s="10" t="inlineStr">
        <x:is>
          <x:t xml:space="preserve">Cash/balance conservation; reviewer prior obligations có giả định; không gọi unconditional legal compliance.</x:t>
        </x:is>
      </x:c>
      <x:c r="F49" s="10" t="inlineStr">
        <x:is>
          <x:t xml:space="preserve">Verify full legal regimes, prior obligations và amendments trước full contractual engine.</x:t>
        </x:is>
      </x:c>
      <x:c r="G49" s="10" t="inlineStr">
        <x:is>
          <x:t xml:space="preserve">https://github.com/susayold/credit-atlas/blob/b997c20/docs/COMPLETION_REQUIREMENTS_50.json</x:t>
        </x:is>
      </x:c>
    </x:row>
    <x:row r="50" ht="68" customHeight="1">
      <x:c r="A50" s="9" t="inlineStr">
        <x:is>
          <x:t xml:space="preserve">P5.05</x:t>
        </x:is>
      </x:c>
      <x:c r="B50" s="9" t="inlineStr">
        <x:is>
          <x:t xml:space="preserve">P5</x:t>
        </x:is>
      </x:c>
      <x:c r="C50" s="9" t="inlineStr">
        <x:is>
          <x:t xml:space="preserve">Tranche &amp; triggers</x:t>
        </x:is>
      </x:c>
      <x:c r="D50" s="22" t="n">
        <x:v>0</x:v>
      </x:c>
      <x:c r="E50" s="9" t="inlineStr">
        <x:is>
          <x:t xml:space="preserve">Stage shortfalls không cộng thành credit loss; không prorate pool loss thành tranche loss; unsupported triggers giữ gap.</x:t>
        </x:is>
      </x:c>
      <x:c r="F50" s="9" t="inlineStr">
        <x:is>
          <x:t xml:space="preserve">Bổ sung verified trigger state/history và loss-allocation/legal regimes.</x:t>
        </x:is>
      </x:c>
      <x:c r="G50" s="9" t="inlineStr">
        <x:is>
          <x:t xml:space="preserve">https://github.com/susayold/credit-atlas/blob/b997c20/docs/COMPLETION_REQUIREMENTS_50.json</x:t>
        </x:is>
      </x:c>
    </x:row>
    <x:row r="51" ht="68" customHeight="1">
      <x:c r="A51" s="10" t="inlineStr">
        <x:is>
          <x:t xml:space="preserve">P5.06</x:t>
        </x:is>
      </x:c>
      <x:c r="B51" s="10" t="inlineStr">
        <x:is>
          <x:t xml:space="preserve">P5</x:t>
        </x:is>
      </x:c>
      <x:c r="C51" s="10" t="inlineStr">
        <x:is>
          <x:t xml:space="preserve">Scenario valuation</x:t>
        </x:is>
      </x:c>
      <x:c r="D51" s="23" t="n">
        <x:v>0</x:v>
      </x:c>
      <x:c r="E51" s="10" t="inlineStr">
        <x:is>
          <x:t xml:space="preserve">Treasury/index OAS không là deal quote; không gọi market-calibrated ABS price.</x:t>
        </x:is>
      </x:c>
      <x:c r="F51" s="10" t="inlineStr">
        <x:is>
          <x:t xml:space="preserve">Thu thập instrument quotes và supported projected cashflows trước calibrated valuation.</x:t>
        </x:is>
      </x:c>
      <x:c r="G51" s="10" t="inlineStr">
        <x:is>
          <x:t xml:space="preserve">https://github.com/susayold/credit-atlas/blob/b997c20/docs/COMPLETION_REQUIREMENTS_50.json</x:t>
        </x:is>
      </x:c>
    </x:row>
    <x:row r="52" ht="68" customHeight="1">
      <x:c r="A52" s="9" t="inlineStr">
        <x:is>
          <x:t xml:space="preserve">P5.07</x:t>
        </x:is>
      </x:c>
      <x:c r="B52" s="9" t="inlineStr">
        <x:is>
          <x:t xml:space="preserve">P5</x:t>
        </x:is>
      </x:c>
      <x:c r="C52" s="9" t="inlineStr">
        <x:is>
          <x:t xml:space="preserve">Bond sensitivity</x:t>
        </x:is>
      </x:c>
      <x:c r="D52" s="22" t="n">
        <x:v>0</x:v>
      </x:c>
      <x:c r="E52" s="9" t="inlineStr">
        <x:is>
          <x:t xml:space="preserve">Scope coupon-date benchmark; chưa dirty/clean/accrued/spread curve của mọi actual security.</x:t>
        </x:is>
      </x:c>
      <x:c r="F52" s="9" t="inlineStr">
        <x:is>
          <x:t xml:space="preserve">Thêm trade/settlement dates, day-count/accrual và curve benchmark pricers.</x:t>
        </x:is>
      </x:c>
      <x:c r="G52" s="9" t="inlineStr">
        <x:is>
          <x:t xml:space="preserve">https://github.com/susayold/credit-atlas/blob/b997c20/docs/COMPLETION_REQUIREMENTS_50.json</x:t>
        </x:is>
      </x:c>
    </x:row>
    <x:row r="53" ht="68" customHeight="1">
      <x:c r="A53" s="10" t="inlineStr">
        <x:is>
          <x:t xml:space="preserve">P5.08</x:t>
        </x:is>
      </x:c>
      <x:c r="B53" s="10" t="inlineStr">
        <x:is>
          <x:t xml:space="preserve">P5</x:t>
        </x:is>
      </x:c>
      <x:c r="C53" s="10" t="inlineStr">
        <x:is>
          <x:t xml:space="preserve">CDS credit curve</x:t>
        </x:is>
      </x:c>
      <x:c r="D53" s="23" t="n">
        <x:v>0</x:v>
      </x:c>
      <x:c r="E53" s="10" t="inlineStr">
        <x:is>
          <x:t xml:space="preserve">Index OAS không thay CDS quotes; risk-neutral probability không thay borrower real-world PD.</x:t>
        </x:is>
      </x:c>
      <x:c r="F53" s="10" t="inlineStr">
        <x:is>
          <x:t xml:space="preserve">Lấy licensed term quotes và freeze pricing conventions/benchmark.</x:t>
        </x:is>
      </x:c>
      <x:c r="G53" s="10" t="inlineStr">
        <x:is>
          <x:t xml:space="preserve">https://github.com/susayold/credit-atlas/blob/b997c20/docs/COMPLETION_REQUIREMENTS_50.json</x:t>
        </x:is>
      </x:c>
    </x:row>
    <x:row r="54" ht="68" customHeight="1">
      <x:c r="A54" s="9" t="inlineStr">
        <x:is>
          <x:t xml:space="preserve">P5.09</x:t>
        </x:is>
      </x:c>
      <x:c r="B54" s="9" t="inlineStr">
        <x:is>
          <x:t xml:space="preserve">P5</x:t>
        </x:is>
      </x:c>
      <x:c r="C54" s="9" t="inlineStr">
        <x:is>
          <x:t xml:space="preserve">Position &amp; scenario comparison</x:t>
        </x:is>
      </x:c>
      <x:c r="D54" s="22" t="n">
        <x:v>0</x:v>
      </x:c>
      <x:c r="E54" s="9" t="inlineStr">
        <x:is>
          <x:t xml:space="preserve">Index không là executable price; actual exposure representations không double-count cùng underlying risk.</x:t>
        </x:is>
      </x:c>
      <x:c r="F54" s="9" t="inlineStr">
        <x:is>
          <x:t xml:space="preserve">Thêm typed security-position mapping và supported instrument cashflow engines.</x:t>
        </x:is>
      </x:c>
      <x:c r="G54" s="9" t="inlineStr">
        <x:is>
          <x:t xml:space="preserve">https://github.com/susayold/credit-atlas/blob/b997c20/docs/COMPLETION_REQUIREMENTS_50.json</x:t>
        </x:is>
      </x:c>
    </x:row>
    <x:row r="55" ht="68" customHeight="1">
      <x:c r="A55" s="10" t="inlineStr">
        <x:is>
          <x:t xml:space="preserve">P5.10</x:t>
        </x:is>
      </x:c>
      <x:c r="B55" s="10" t="inlineStr">
        <x:is>
          <x:t xml:space="preserve">P5</x:t>
        </x:is>
      </x:c>
      <x:c r="C55" s="10" t="inlineStr">
        <x:is>
          <x:t xml:space="preserve">Surveillance &amp; numerical evidence</x:t>
        </x:is>
      </x:c>
      <x:c r="D55" s="23" t="n">
        <x:v>0</x:v>
      </x:c>
      <x:c r="E55" s="10" t="inlineStr">
        <x:is>
          <x:t xml:space="preserve">Không bỏ dropped amendments/unsupported triggers; chưa live surveillance event feed.</x:t>
        </x:is>
      </x:c>
      <x:c r="F55" s="10" t="inlineStr">
        <x:is>
          <x:t xml:space="preserve">Thêm fresh servicing periods, legal change detection và review ownership.</x:t>
        </x:is>
      </x:c>
      <x:c r="G55" s="10" t="inlineStr">
        <x:is>
          <x:t xml:space="preserve">https://github.com/susayold/credit-atlas/blob/b997c20/docs/COMPLETION_REQUIREMENTS_50.json</x:t>
        </x:is>
      </x:c>
    </x:row>
    <x:row r="56" ht="24" customHeight="1">
      <x:c r="A56" s="2" t="n"/>
      <x:c r="B56" s="2" t="n"/>
      <x:c r="C56" s="2" t="n"/>
      <x:c r="D56" s="2" t="n"/>
      <x:c r="E56" s="2" t="n"/>
      <x:c r="F56" s="2" t="n"/>
      <x:c r="G56" s="2" t="n"/>
    </x:row>
    <x:row r="57" ht="24" customHeight="1">
      <x:c r="A57" s="2" t="n"/>
      <x:c r="B57" s="2" t="n"/>
      <x:c r="C57" s="2" t="n"/>
      <x:c r="D57" s="2" t="n"/>
      <x:c r="E57" s="2" t="n"/>
      <x:c r="F57" s="2" t="n"/>
      <x:c r="G57" s="2" t="n"/>
    </x:row>
  </x:sheetData>
  <x:pageMargins left="0.7" right="0.7" top="0.75" bottom="0.75" header="0.3" footer="0.3"/>
  <x:tableParts count="1">
    <x:tablePart xmlns:r="http://schemas.openxmlformats.org/officeDocument/2006/relationships" r:id="R4e21244e142449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29" customWidth="1"/>
    <x:col min="2" max="2" width="17" customWidth="1"/>
    <x:col min="3" max="3" width="20" customWidth="1"/>
    <x:col min="4" max="4" width="34" customWidth="1"/>
    <x:col min="5" max="5" width="45" customWidth="1"/>
    <x:col min="6" max="6" width="64" customWidth="1"/>
    <x:col min="7" max="7" width="65" customWidth="1"/>
  </x:cols>
  <x:sheetData>
    <x:row r="1" ht="24" customHeight="1">
      <x:c r="A1" s="2" t="n"/>
      <x:c r="B1" s="2" t="n"/>
      <x:c r="C1" s="2" t="n"/>
      <x:c r="D1" s="2" t="n"/>
      <x:c r="E1" s="2" t="n"/>
      <x:c r="F1" s="2" t="n"/>
      <x:c r="G1" s="2" t="n"/>
    </x:row>
    <x:row r="2" ht="24" customHeight="1">
      <x:c r="A2" s="3" t="inlineStr">
        <x:is>
          <x:t xml:space="preserve">Dữ liệu hiện có và mục đích dùng</x:t>
        </x:is>
      </x:c>
      <x:c r="B2" s="2" t="n"/>
      <x:c r="C2" s="2" t="n"/>
      <x:c r="D2" s="2" t="n"/>
      <x:c r="E2" s="2" t="n"/>
      <x:c r="F2" s="2" t="n"/>
      <x:c r="G2" s="2" t="n"/>
    </x:row>
    <x:row r="3" ht="24" customHeight="1">
      <x:c r="A3" s="4" t="inlineStr">
        <x:is>
          <x:t xml:space="preserve">Quy mô theo hồ sơ acquisition/audit đã lưu. Các nguồn khác grain và có thể chồng lấn, không cộng thành unique borrowers.</x:t>
        </x:is>
      </x:c>
      <x:c r="B3" s="4" t="inlineStr">
        <x:is>
          <x:t xml:space="preserve">Quy mô theo receipt/acquisition. Các nguồn khác grain; không cộng thành unique borrowers. Quarterly HAMP PDFs là cohort-age snapshots, không phải loan-month records.</x:t>
        </x:is>
      </x:c>
      <x:c r="C3" s="4" t="n"/>
      <x:c r="D3" s="4" t="n"/>
      <x:c r="E3" s="4" t="n"/>
      <x:c r="F3" s="4" t="n"/>
      <x:c r="G3" s="4" t="n"/>
    </x:row>
    <x:row r="4" ht="24" customHeight="1">
      <x:c r="A4" s="2" t="n"/>
      <x:c r="B4" s="2" t="n"/>
      <x:c r="C4" s="2" t="n"/>
      <x:c r="D4" s="2" t="n"/>
      <x:c r="E4" s="2" t="n"/>
      <x:c r="F4" s="2" t="n"/>
      <x:c r="G4" s="2" t="n"/>
    </x:row>
    <x:row r="5" ht="34" customHeight="1">
      <x:c r="A5" s="8" t="inlineStr">
        <x:is>
          <x:t xml:space="preserve">Nguồn</x:t>
        </x:is>
      </x:c>
      <x:c r="B5" s="8" t="inlineStr">
        <x:is>
          <x:t xml:space="preserve">Số lượng</x:t>
        </x:is>
      </x:c>
      <x:c r="C5" s="8" t="inlineStr">
        <x:is>
          <x:t xml:space="preserve">Đơn vị đếm</x:t>
        </x:is>
      </x:c>
      <x:c r="D5" s="8" t="inlineStr">
        <x:is>
          <x:t xml:space="preserve">Phạm vi thời gian</x:t>
        </x:is>
      </x:c>
      <x:c r="E5" s="8" t="inlineStr">
        <x:is>
          <x:t xml:space="preserve">Phù hợp cho</x:t>
        </x:is>
      </x:c>
      <x:c r="F5" s="8" t="inlineStr">
        <x:is>
          <x:t xml:space="preserve">Giới hạn / việc tiếp</x:t>
        </x:is>
      </x:c>
      <x:c r="G5" s="8" t="inlineStr">
        <x:is>
          <x:t xml:space="preserve">Báo cáo nguồn</x:t>
        </x:is>
      </x:c>
    </x:row>
    <x:row r="6" ht="50" customHeight="1">
      <x:c r="A6" s="9" t="str">
        <x:v>Freddie Mac SFLLD 2012 (private; release unverified)</x:v>
      </x:c>
      <x:c r="B6" s="24" t="n">
        <x:v>50000</x:v>
      </x:c>
      <x:c r="C6" s="9" t="inlineStr">
        <x:is>
          <x:t xml:space="preserve">loans</x:t>
        </x:is>
      </x:c>
      <x:c r="D6" s="9" t="str">
        <x:v>2012 origination; performance through 2026-03</x:v>
      </x:c>
      <x:c r="E6" s="9" t="inlineStr">
        <x:is>
          <x:t xml:space="preserve">P2 D01 descriptive</x:t>
        </x:is>
      </x:c>
      <x:c r="F6" s="9" t="str">
        <x:v>Local archive is private and Release 47 is not publisher-authenticated; terms and original download route unresolved; no multi-vintage qualified model.</x:v>
      </x:c>
      <x:c r="G6" s="9" t="str">
        <x:v>https://www.freddiemac.com/research/datasets/sf-loanlevel-dataset</x:v>
      </x:c>
    </x:row>
    <x:row r="7" ht="50" customHeight="1">
      <x:c r="A7" s="10" t="inlineStr">
        <x:is>
          <x:t xml:space="preserve">UCI350</x:t>
        </x:is>
      </x:c>
      <x:c r="B7" s="25" t="n">
        <x:v>30000</x:v>
      </x:c>
      <x:c r="C7" s="10" t="inlineStr">
        <x:is>
          <x:t xml:space="preserve">clients</x:t>
        </x:is>
      </x:c>
      <x:c r="D7" s="10" t="inlineStr">
        <x:is>
          <x:t xml:space="preserve">Taiwan 2005</x:t>
        </x:is>
      </x:c>
      <x:c r="E7" s="10" t="inlineStr">
        <x:is>
          <x:t xml:space="preserve">P1 behavioral benchmark</x:t>
        </x:is>
      </x:c>
      <x:c r="F7" s="10" t="inlineStr">
        <x:is>
          <x:t xml:space="preserve">Target tháng kế tiếp; random split, chưa OOT/Vietnam PD</x:t>
        </x:is>
      </x:c>
      <x:c r="G7" s="10" t="inlineStr">
        <x:is>
          <x:t xml:space="preserve">https://github.com/susayold/credit-atlas/blob/b997c20/docs/RETAIL_FROZEN_HOLDOUT_AND_MODEL_CARD.md</x:t>
        </x:is>
      </x:c>
    </x:row>
    <x:row r="8" ht="50" customHeight="1">
      <x:c r="A8" s="9" t="inlineStr">
        <x:is>
          <x:t xml:space="preserve">LendingClub accepted — Kaggle v3</x:t>
        </x:is>
      </x:c>
      <x:c r="B8" s="24" t="n">
        <x:v>2260701</x:v>
      </x:c>
      <x:c r="C8" s="9" t="inlineStr">
        <x:is>
          <x:t xml:space="preserve">rows</x:t>
        </x:is>
      </x:c>
      <x:c r="D8" s="9" t="inlineStr">
        <x:is>
          <x:t xml:space="preserve">2007–2018Q4</x:t>
        </x:is>
      </x:c>
      <x:c r="E8" s="9" t="inlineStr">
        <x:is>
          <x:t xml:space="preserve">P1 booked-loan cohort diagnostics</x:t>
        </x:is>
      </x:c>
      <x:c r="F8" s="9" t="inlineStr">
        <x:is>
          <x:t xml:space="preserve">151 fields; 33 missing/invalid issue dates; feature timing, label maturity and issuer rights unqualified</x:t>
        </x:is>
      </x:c>
      <x:c r="G8" s="9" t="inlineStr">
        <x:is>
          <x:t xml:space="preserve">https://github.com/susayold/credit-atlas/blob/b997c20/docs/LENDINGCLUB_FULL_SOURCE_VI.md</x:t>
        </x:is>
      </x:c>
    </x:row>
    <x:row r="9" ht="50" customHeight="1">
      <x:c r="A9" s="10" t="inlineStr">
        <x:is>
          <x:t xml:space="preserve">LendingClub rejected — Kaggle v3</x:t>
        </x:is>
      </x:c>
      <x:c r="B9" s="25" t="n">
        <x:v>27648741</x:v>
      </x:c>
      <x:c r="C9" s="10" t="inlineStr">
        <x:is>
          <x:t xml:space="preserve">rows</x:t>
        </x:is>
      </x:c>
      <x:c r="D9" s="10" t="inlineStr">
        <x:is>
          <x:t xml:space="preserve">2007–2018Q4</x:t>
        </x:is>
      </x:c>
      <x:c r="E9" s="10" t="inlineStr">
        <x:is>
          <x:t xml:space="preserve">P1 rejected-application population only</x:t>
        </x:is>
      </x:c>
      <x:c r="F9" s="10" t="inlineStr">
        <x:is>
          <x:t xml:space="preserve">9 fields; 0 invalid application dates; no repayment outcome or compatible approval denominator</x:t>
        </x:is>
      </x:c>
      <x:c r="G9" s="10" t="inlineStr">
        <x:is>
          <x:t xml:space="preserve">https://github.com/susayold/credit-atlas/blob/b997c20/docs/LENDINGCLUB_FULL_SOURCE_VI.md</x:t>
        </x:is>
      </x:c>
    </x:row>
    <x:row r="10" ht="50" customHeight="1">
      <x:c r="A10" s="9" t="inlineStr">
        <x:is>
          <x:t xml:space="preserve">Go &amp; Grow / Bondora Loan Dataset</x:t>
        </x:is>
      </x:c>
      <x:c r="B10" s="24" t="n">
        <x:v>789144</x:v>
      </x:c>
      <x:c r="C10" s="9" t="inlineStr">
        <x:is>
          <x:t xml:space="preserve">loans</x:t>
        </x:is>
      </x:c>
      <x:c r="D10" s="9" t="inlineStr">
        <x:is>
          <x:t xml:space="preserve">Issue dates 2009-02–2026-06</x:t>
        </x:is>
      </x:c>
      <x:c r="E10" s="9" t="inlineStr">
        <x:is>
          <x:t xml:space="preserve">P1 tri-state 12M label support</x:t>
        </x:is>
      </x:c>
      <x:c r="F10" s="9" t="inlineStr">
        <x:is>
          <x:t xml:space="preserve">31 fields; 86,618 true / 520,246 false / 182,280 NULL; 10,860 proxy-mature NULL unresolved; retrieval/license unqualified</x:t>
        </x:is>
      </x:c>
      <x:c r="G10" s="9" t="inlineStr">
        <x:is>
          <x:t xml:space="preserve">https://goandgrow.eu/en/public-statistics/</x:t>
        </x:is>
      </x:c>
    </x:row>
    <x:row r="11" ht="50" customHeight="1">
      <x:c r="A11" s="10" t="inlineStr">
        <x:is>
          <x:t xml:space="preserve">NSMO v7.0</x:t>
        </x:is>
      </x:c>
      <x:c r="B11" s="25" t="n">
        <x:v>62359</x:v>
      </x:c>
      <x:c r="C11" s="10" t="inlineStr">
        <x:is>
          <x:t xml:space="preserve">loans</x:t>
        </x:is>
      </x:c>
      <x:c r="D11" s="10" t="inlineStr">
        <x:is>
          <x:t xml:space="preserve">2013–2024; Q3/2025 outcomes</x:t>
        </x:is>
      </x:c>
      <x:c r="E11" s="10" t="inlineStr">
        <x:is>
          <x:t xml:space="preserve">P2 D02 descriptive</x:t>
        </x:is>
      </x:c>
      <x:c r="F11" s="10" t="inlineStr">
        <x:is>
          <x:t xml:space="preserve">587 fields; weighting/routing/censoring; chưa model target</x:t>
        </x:is>
      </x:c>
      <x:c r="G11" s="10" t="inlineStr">
        <x:is>
          <x:t xml:space="preserve">https://github.com/susayold/credit-atlas/blob/b997c20/docs/NSMO_D02_CASE_BUILD_PLAN_VI.md</x:t>
        </x:is>
      </x:c>
    </x:row>
    <x:row r="12" ht="50" customHeight="1">
      <x:c r="A12" s="9" t="inlineStr">
        <x:is>
          <x:t xml:space="preserve">NMDB New</x:t>
        </x:is>
      </x:c>
      <x:c r="B12" s="24" t="n">
        <x:v>3038100</x:v>
      </x:c>
      <x:c r="C12" s="9" t="inlineStr">
        <x:is>
          <x:t xml:space="preserve">aggregate rows</x:t>
        </x:is>
      </x:c>
      <x:c r="D12" s="9" t="inlineStr">
        <x:is>
          <x:t xml:space="preserve">Annual 1998–2025</x:t>
        </x:is>
      </x:c>
      <x:c r="E12" s="9" t="inlineStr">
        <x:is>
          <x:t xml:space="preserve">Origination market context</x:t>
        </x:is>
      </x:c>
      <x:c r="F12" s="9" t="inlineStr">
        <x:is>
          <x:t xml:space="preserve">App/API + query-scoped Excel đã tích hợp; browser visual và native Excel acceptance còn mở; VALUE1/2 tách biệt.</x:t>
        </x:is>
      </x:c>
      <x:c r="G12" s="9" t="inlineStr">
        <x:is>
          <x:t xml:space="preserve">https://github.com/susayold/credit-atlas/blob/b997c20/docs/FHFA_NMDB_ORIGINATION_OUTSTANDING_REVIEW_VI.md</x:t>
        </x:is>
      </x:c>
    </x:row>
    <x:row r="13" ht="50" customHeight="1">
      <x:c r="A13" s="10" t="inlineStr">
        <x:is>
          <x:t xml:space="preserve">NMDB Outstanding</x:t>
        </x:is>
      </x:c>
      <x:c r="B13" s="25" t="n">
        <x:v>535464</x:v>
      </x:c>
      <x:c r="C13" s="10" t="inlineStr">
        <x:is>
          <x:t xml:space="preserve">aggregate rows</x:t>
        </x:is>
      </x:c>
      <x:c r="D13" s="10" t="inlineStr">
        <x:is>
          <x:t xml:space="preserve">2013Q1–2026Q2</x:t>
        </x:is>
      </x:c>
      <x:c r="E13" s="10" t="inlineStr">
        <x:is>
          <x:t xml:space="preserve">UPB / active-stock context</x:t>
        </x:is>
      </x:c>
      <x:c r="F13" s="10" t="inlineStr">
        <x:is>
          <x:t xml:space="preserve">Không loan performance; suppressed/missing giữ riêng</x:t>
        </x:is>
      </x:c>
      <x:c r="G13" s="10" t="inlineStr">
        <x:is>
          <x:t xml:space="preserve">https://github.com/susayold/credit-atlas/blob/b997c20/docs/FHFA_NMDB_ORIGINATION_OUTSTANDING_REVIEW_VI.md</x:t>
        </x:is>
      </x:c>
    </x:row>
    <x:row r="14" ht="50" customHeight="1">
      <x:c r="A14" s="9" t="inlineStr">
        <x:is>
          <x:t xml:space="preserve">HMDA 2018–2025</x:t>
        </x:is>
      </x:c>
      <x:c r="B14" s="24" t="n">
        <x:v>12</x:v>
      </x:c>
      <x:c r="C14" s="9" t="inlineStr">
        <x:is>
          <x:t xml:space="preserve">source release/file objects</x:t>
        </x:is>
      </x:c>
      <x:c r="D14" s="9" t="inlineStr">
        <x:is>
          <x:t xml:space="preserve">Activity 2018–2025; release freezes 2021–2026</x:t>
        </x:is>
      </x:c>
      <x:c r="E14" s="9" t="inlineStr">
        <x:is>
          <x:t xml:space="preserve">D08 application/decision mix; descriptive denial analysis</x:t>
        </x:is>
      </x:c>
      <x:c r="F14" s="9" t="inlineStr">
        <x:is>
          <x:t xml:space="preserve">9 LAR vintages + 3 QA/reference files. Row counts by LAR release are in the source register and overlap; 2018 has 1,961 quarantined rows. No repayment/default label.</x:t>
        </x:is>
      </x:c>
      <x:c r="G14" s="9" t="inlineStr">
        <x:is>
          <x:t xml:space="preserve">https://github.com/susayold/credit-atlas/blob/b997c20/docs/D01_PROGRESS_AND_DATA_PRIORITY_2026-10-16_VI.md</x:t>
        </x:is>
      </x:c>
    </x:row>
    <x:row r="15" ht="50" customHeight="1">
      <x:c r="A15" s="10" t="inlineStr">
        <x:is>
          <x:t xml:space="preserve">SBA FOIA</x:t>
        </x:is>
      </x:c>
      <x:c r="B15" s="25" t="n">
        <x:v>2190504</x:v>
      </x:c>
      <x:c r="C15" s="10" t="inlineStr">
        <x:is>
          <x:t xml:space="preserve">source records</x:t>
        </x:is>
      </x:c>
      <x:c r="D15" s="10" t="inlineStr">
        <x:is>
          <x:t xml:space="preserve">Snapshot 2026-06-30</x:t>
        </x:is>
      </x:c>
      <x:c r="E15" s="10" t="inlineStr">
        <x:is>
          <x:t xml:space="preserve">P3 cohorts / sector</x:t>
        </x:is>
      </x:c>
      <x:c r="F15" s="10" t="inlineStr">
        <x:is>
          <x:t xml:space="preserve">Status snapshot không phải fixed-horizon PD; duplicates retained</x:t>
        </x:is>
      </x:c>
      <x:c r="G15" s="10" t="inlineStr">
        <x:is>
          <x:t xml:space="preserve">https://github.com/susayold/credit-atlas/blob/b997c20/docs/SBA_BUSINESS_DATA_CONTRACT.md</x:t>
        </x:is>
      </x:c>
    </x:row>
    <x:row r="16" ht="50" customHeight="1">
      <x:c r="A16" s="9" t="inlineStr">
        <x:is>
          <x:t xml:space="preserve">UCI365</x:t>
        </x:is>
      </x:c>
      <x:c r="B16" s="24" t="n">
        <x:v>43405</x:v>
      </x:c>
      <x:c r="C16" s="9" t="inlineStr">
        <x:is>
          <x:t xml:space="preserve">statements</x:t>
        </x:is>
      </x:c>
      <x:c r="D16" s="9" t="inlineStr">
        <x:is>
          <x:t xml:space="preserve">5 source horizons</x:t>
        </x:is>
      </x:c>
      <x:c r="E16" s="9" t="inlineStr">
        <x:is>
          <x:t xml:space="preserve">P3 bankruptcy benchmark</x:t>
        </x:is>
      </x:c>
      <x:c r="F16" s="9" t="inlineStr">
        <x:is>
          <x:t xml:space="preserve">One-year subset 5.910 rows; thiếu firm IDs/publication dates</x:t>
        </x:is>
      </x:c>
      <x:c r="G16" s="9" t="inlineStr">
        <x:is>
          <x:t xml:space="preserve">https://github.com/susayold/credit-atlas/blob/b997c20/docs/BANKRUPTCY_FINAL_MODEL_CARD.md</x:t>
        </x:is>
      </x:c>
    </x:row>
    <x:row r="17" ht="50" customHeight="1">
      <x:c r="A17" s="10" t="inlineStr">
        <x:is>
          <x:t xml:space="preserve">SEC financials</x:t>
        </x:is>
      </x:c>
      <x:c r="B17" s="25" t="n">
        <x:v>105441</x:v>
      </x:c>
      <x:c r="C17" s="10" t="inlineStr">
        <x:is>
          <x:t xml:space="preserve">source facts</x:t>
        </x:is>
      </x:c>
      <x:c r="D17" s="10" t="inlineStr">
        <x:is>
          <x:t xml:space="preserve">Filing-specific</x:t>
        </x:is>
      </x:c>
      <x:c r="E17" s="10" t="inlineStr">
        <x:is>
          <x:t xml:space="preserve">P3 ratios / memo</x:t>
        </x:is>
      </x:c>
      <x:c r="F17" s="10" t="str">
        <x:v>One Apple FY2025 accession now has 3 receipt-bound issuer artifacts; local source is not byte-identical in size to SEC-hosted copies; not a complete issuer panel or debt-service schedule.</x:v>
      </x:c>
      <x:c r="G17" s="10" t="str">
        <x:v>https://github.com/susayold/credit-atlas/blob/main/docs/SEC_APPLE_2025_FILING_AND_EXPOSURE_ORIGIN_REVIEW_VI.md</x:v>
      </x:c>
    </x:row>
    <x:row r="18" ht="50" customHeight="1">
      <x:c r="A18" s="9" t="inlineStr">
        <x:is>
          <x:t xml:space="preserve">FDIC</x:t>
        </x:is>
      </x:c>
      <x:c r="B18" s="24" t="n">
        <x:v>214809</x:v>
      </x:c>
      <x:c r="C18" s="9" t="inlineStr">
        <x:is>
          <x:t xml:space="preserve">bank-quarter reports</x:t>
        </x:is>
      </x:c>
      <x:c r="D18" s="9" t="inlineStr">
        <x:is>
          <x:t xml:space="preserve">42 quarters 2016Q1–2026Q2</x:t>
        </x:is>
      </x:c>
      <x:c r="E18" s="9" t="inlineStr">
        <x:is>
          <x:t xml:space="preserve">P4 bank observatory</x:t>
        </x:is>
      </x:c>
      <x:c r="F18" s="9" t="inlineStr">
        <x:is>
          <x:t xml:space="preserve">Không borrower loan book; publication/merger conventions còn mở</x:t>
        </x:is>
      </x:c>
      <x:c r="G18" s="9" t="inlineStr">
        <x:is>
          <x:t xml:space="preserve">https://github.com/susayold/credit-atlas/blob/b997c20/docs/FDIC_BANK_PANEL_WORKFLOW.md</x:t>
        </x:is>
      </x:c>
    </x:row>
    <x:row r="19" ht="50" customHeight="1">
      <x:c r="A19" s="10" t="str">
        <x:v>Freddie 2012 sample UPB diagnostic (not actual portfolio)</x:v>
      </x:c>
      <x:c r="B19" s="25" t="str">
        <x:v>9,698 loan-month rows (Mar)</x:v>
      </x:c>
      <x:c r="C19" s="10" t="str">
        <x:v>Sample loan-month observations</x:v>
      </x:c>
      <x:c r="D19" s="10" t="str">
        <x:v>2012 Freddie cohort; Feb–Mar 2026 snapshots</x:v>
      </x:c>
      <x:c r="E19" s="10" t="str">
        <x:v>P4 sample UPB movement / concentration diagnostic</x:v>
      </x:c>
      <x:c r="F19" s="10" t="str">
        <x:v>Sample UPB only; not owned portfolio, EAD, PD or ECL. PD/LGD/EAD fields blank; no owner/obligor evidence; source release and terms remain unverified.</x:v>
      </x:c>
      <x:c r="G19" s="10" t="str">
        <x:v>https://github.com/susayold/credit-atlas/blob/main/docs/SEC_APPLE_2025_FILING_AND_EXPOSURE_ORIGIN_REVIEW_VI.md</x:v>
      </x:c>
    </x:row>
    <x:row r="20" ht="50" customHeight="1">
      <x:c r="A20" s="9" t="inlineStr">
        <x:is>
          <x:t xml:space="preserve">Toyota 2022-B</x:t>
        </x:is>
      </x:c>
      <x:c r="B20" s="24" t="n">
        <x:v>2508991</x:v>
      </x:c>
      <x:c r="C20" s="9" t="inlineStr">
        <x:is>
          <x:t xml:space="preserve">asset row-months</x:t>
        </x:is>
      </x:c>
      <x:c r="D20" s="9" t="inlineStr">
        <x:is>
          <x:t xml:space="preserve">51 monthly periods</x:t>
        </x:is>
      </x:c>
      <x:c r="E20" s="9" t="inlineStr">
        <x:is>
          <x:t xml:space="preserve">P5 surveillance</x:t>
        </x:is>
      </x:c>
      <x:c r="F20" s="9" t="inlineStr">
        <x:is>
          <x:t xml:space="preserve">77.626 asset keys; recovery mismatch chưa resolve</x:t>
        </x:is>
      </x:c>
      <x:c r="G20" s="9" t="inlineStr">
        <x:is>
          <x:t xml:space="preserve">https://github.com/susayold/credit-atlas/blob/b997c20/docs/TOYOTA_2024B_VALIDATION_RESEARCH_VI.md</x:t>
        </x:is>
      </x:c>
    </x:row>
    <x:row r="21" ht="50" customHeight="1">
      <x:c r="A21" s="10" t="inlineStr">
        <x:is>
          <x:t xml:space="preserve">Toyota 2024-B</x:t>
        </x:is>
      </x:c>
      <x:c r="B21" s="25" t="n">
        <x:v>1518106</x:v>
      </x:c>
      <x:c r="C21" s="10" t="inlineStr">
        <x:is>
          <x:t xml:space="preserve">asset row-months</x:t>
        </x:is>
      </x:c>
      <x:c r="D21" s="10" t="inlineStr">
        <x:is>
          <x:t xml:space="preserve">29 periods 04/2024–08/2026</x:t>
        </x:is>
      </x:c>
      <x:c r="E21" s="10" t="inlineStr">
        <x:is>
          <x:t xml:space="preserve">P5 surveillance</x:t>
        </x:is>
      </x:c>
      <x:c r="F21" s="10" t="inlineStr">
        <x:is>
          <x:t xml:space="preserve">70.254 keys; recovery tie-out 1/29 exact</x:t>
        </x:is>
      </x:c>
      <x:c r="G21" s="10" t="inlineStr">
        <x:is>
          <x:t xml:space="preserve">https://github.com/susayold/credit-atlas/blob/b997c20/docs/TOYOTA_2024B_VALIDATION_RESEARCH_VI.md</x:t>
        </x:is>
      </x:c>
    </x:row>
    <x:row r="22" ht="50" customHeight="1">
      <x:c r="A22" s="9" t="inlineStr">
        <x:is>
          <x:t xml:space="preserve">Nissan 2024-B</x:t>
        </x:is>
      </x:c>
      <x:c r="B22" s="24" t="n">
        <x:v>1154259</x:v>
      </x:c>
      <x:c r="C22" s="9" t="inlineStr">
        <x:is>
          <x:t xml:space="preserve">asset row-months</x:t>
        </x:is>
      </x:c>
      <x:c r="D22" s="9" t="inlineStr">
        <x:is>
          <x:t xml:space="preserve">23 periods 10/2024–08/2026</x:t>
        </x:is>
      </x:c>
      <x:c r="E22" s="9" t="inlineStr">
        <x:is>
          <x:t xml:space="preserve">P5 external issuer source audit</x:t>
        </x:is>
      </x:c>
      <x:c r="F22" s="9" t="inlineStr">
        <x:is>
          <x:t xml:space="preserve">63.688 keys; event/recovery/DPD exceptions, chưa model validation</x:t>
        </x:is>
      </x:c>
      <x:c r="G22" s="9" t="inlineStr">
        <x:is>
          <x:t xml:space="preserve">https://github.com/susayold/credit-atlas/blob/b997c20/docs/NISSAN_2024B_EXTERNAL_VALIDATION_VI.md</x:t>
        </x:is>
      </x:c>
    </x:row>
    <x:row r="23" ht="50" customHeight="1">
      <x:c r="A23" s="10" t="inlineStr">
        <x:is>
          <x:t xml:space="preserve">Ginnie production</x:t>
        </x:is>
      </x:c>
      <x:c r="B23" s="25" t="n"/>
      <x:c r="C23" s="10" t="inlineStr">
        <x:is>
          <x:t xml:space="preserve">not acquired</x:t>
        </x:is>
      </x:c>
      <x:c r="D23" s="10" t="inlineStr">
        <x:is>
          <x:t xml:space="preserve">Quarterly pilot planned</x:t>
        </x:is>
      </x:c>
      <x:c r="E23" s="10" t="inlineStr">
        <x:is>
          <x:t xml:space="preserve">Separate MBS case</x:t>
        </x:is>
      </x:c>
      <x:c r="F23" s="10" t="inlineStr">
        <x:is>
          <x:t xml:space="preserve">Đã accept terms; chưa session-file path; sample chỉ chứng minh parser</x:t>
        </x:is>
      </x:c>
      <x:c r="G23" s="10" t="inlineStr">
        <x:is>
          <x:t xml:space="preserve">https://github.com/susayold/credit-atlas/blob/b997c20/docs/GINNIE_MAE_LOAN_PERFORMANCE_SOURCE_REVIEW_VI.md</x:t>
        </x:is>
      </x:c>
    </x:row>
    <x:row r="24" ht="50" customHeight="1">
      <x:c r="A24" s="9" t="inlineStr">
        <x:is>
          <x:t xml:space="preserve">World Omni 2025-A</x:t>
        </x:is>
      </x:c>
      <x:c r="B24" s="24" t="n">
        <x:v>20</x:v>
      </x:c>
      <x:c r="C24" s="9" t="inlineStr">
        <x:is>
          <x:t xml:space="preserve">monthly certificates</x:t>
        </x:is>
      </x:c>
      <x:c r="D24" s="9" t="inlineStr">
        <x:is>
          <x:t xml:space="preserve">Pinned servicing history</x:t>
        </x:is>
      </x:c>
      <x:c r="E24" s="9" t="inlineStr">
        <x:is>
          <x:t xml:space="preserve">P5 cash bridge / waterfall</x:t>
        </x:is>
      </x:c>
      <x:c r="F24" s="9" t="inlineStr">
        <x:is>
          <x:t xml:space="preserve">2.980 typed metrics; full legal regimes / Conversion Date chưa đủ</x:t>
        </x:is>
      </x:c>
      <x:c r="G24" s="9" t="inlineStr">
        <x:is>
          <x:t xml:space="preserve">https://github.com/susayold/credit-atlas/blob/b997c20/docs/STRUCTURED_ABS_SOURCE_WORKFLOW.md</x:t>
        </x:is>
      </x:c>
    </x:row>
    <x:row r="25" ht="52.79999923706055" customHeight="1">
      <x:c r="A25" s="10" t="inlineStr">
        <x:is>
          <x:t xml:space="preserve">World Bank WDI</x:t>
        </x:is>
      </x:c>
      <x:c r="B25" s="25" t="n">
        <x:v>122892</x:v>
      </x:c>
      <x:c r="C25" s="10" t="inlineStr">
        <x:is>
          <x:t xml:space="preserve">annual source observations; 7 indicators × 17,556 rows</x:t>
        </x:is>
      </x:c>
      <x:c r="D25" s="10" t="inlineStr">
        <x:is>
          <x:t xml:space="preserve">Requested 1960–2025; WDI lastupdated 2026-10-08</x:t>
        </x:is>
      </x:c>
      <x:c r="E25" s="10" t="inlineStr">
        <x:is>
          <x:t xml:space="preserve">P4 country context; 217 economies + 49 returned aggregates; not borrower PD</x:t>
        </x:is>
      </x:c>
      <x:c r="F25" s="10" t="inlineStr">
        <x:is>
          <x:t xml:space="preserve">64,452 source NULLs; NPL=2,357 known and capital=2,301 known; all aggregate NPL/capital rows NULL. No carry-forward. Third-party source terms need review.</x:t>
        </x:is>
      </x:c>
      <x:c r="G25" s="10" t="inlineStr">
        <x:is>
          <x:t xml:space="preserve">https://github.com/susayold/credit-atlas/blob/main/docs/WORLD_BANK_WDI_DATA_REVIEW_VI.md</x:t>
        </x:is>
      </x:c>
    </x:row>
    <x:row r="26" ht="50" customHeight="1">
      <x:c r="A26" s="9" t="inlineStr">
        <x:is>
          <x:t xml:space="preserve">Sovereign archive</x:t>
        </x:is>
      </x:c>
      <x:c r="B26" s="24" t="n">
        <x:v>42519</x:v>
      </x:c>
      <x:c r="C26" s="9" t="inlineStr">
        <x:is>
          <x:t xml:space="preserve">Entity-year; 16 selected metrics / row</x:t>
        </x:is>
      </x:c>
      <x:c r="D26" s="9" t="inlineStr">
        <x:is>
          <x:t xml:space="preserve">Editions 2023–2026; reference years 1960–2025</x:t>
        </x:is>
      </x:c>
      <x:c r="E26" s="9" t="inlineStr">
        <x:is>
          <x:t xml:space="preserve">P4 sovereign-government default and revision context</x:t>
        </x:is>
      </x:c>
      <x:c r="F26" s="9" t="inlineStr">
        <x:is>
          <x:t xml:space="preserve">680,304 positions: 515,678 missing; 72,509 zero; 1,341 markers; 9,954 schema-absent; 68 count conflicts. Third-party rights review; not borrower PD/LGD.</x:t>
        </x:is>
      </x:c>
      <x:c r="G26" s="9" t="inlineStr">
        <x:is>
          <x:t xml:space="preserve">https://github.com/susayold/credit-atlas/blob/main/docs/SOVEREIGN_ARCHIVE_DATA_REVIEW_VI.md</x:t>
        </x:is>
      </x:c>
    </x:row>
    <x:row r="27" ht="66" customHeight="1">
      <x:c r="A27" s="10" t="inlineStr">
        <x:is>
          <x:t xml:space="preserve">Treasury HAMP</x:t>
        </x:is>
      </x:c>
      <x:c r="B27" s="25" t="inlineStr">
        <x:is>
          <x:t xml:space="preserve">Treasury page lists 2018-01–2023-02 update; local monthly archive only has 2022-01–2023-02. 90+ after disqualification is carried forward; paid-off/withdrawn leave future denominators. Not general PD; gap remains unresolved.</x:t>
        </x:is>
      </x:c>
      <x:c r="C27" s="10" t="inlineStr">
        <x:is>
          <x:t xml:space="preserve">Mixed-grain records: 1,889,234 modifications + 7,982,840 monthly activity records; not loans</x:t>
        </x:is>
      </x:c>
      <x:c r="D27" s="10" t="inlineStr">
        <x:is>
          <x:t xml:space="preserve">14 activity dates: 2022-01–2023-02; modification effective dates 2009–2017</x:t>
        </x:is>
      </x:c>
      <x:c r="E27" s="10" t="inlineStr">
        <x:is>
          <x:t xml:space="preserve">Selected HAMP modified-loan workout cohort; aggregate audit only</x:t>
        </x:is>
      </x:c>
      <x:c r="F27" s="10" t="inlineStr">
        <x:is>
          <x:t xml:space="preserve">Treasury lists updates 2018-01–2023-02; local archive has no 2018–2021 activity. Not general PD or Freddie; Not Reported is not default.</x:t>
        </x:is>
      </x:c>
      <x:c r="G27" s="10" t="inlineStr">
        <x:is>
          <x:t xml:space="preserve">https://github.com/susayold/credit-atlas/blob/main/docs/TREASURY_HAMP_DATA_REVIEW_VI.md</x:t>
        </x:is>
      </x:c>
    </x:row>
    <x:row r="28" ht="50" customHeight="1">
      <x:c r="A28" s="9" t="inlineStr">
        <x:is>
          <x:t xml:space="preserve">FHFA PUDB 2025</x:t>
        </x:is>
      </x:c>
      <x:c r="B28" s="24" t="n">
        <x:v>2093767</x:v>
      </x:c>
      <x:c r="C28" s="9" t="inlineStr">
        <x:is>
          <x:t xml:space="preserve">source records</x:t>
        </x:is>
      </x:c>
      <x:c r="D28" s="9" t="inlineStr">
        <x:is>
          <x:t xml:space="preserve">2025 acquisition</x:t>
        </x:is>
      </x:c>
      <x:c r="E28" s="9" t="inlineStr">
        <x:is>
          <x:t xml:space="preserve">Mortgage credit-access mix</x:t>
        </x:is>
      </x:c>
      <x:c r="F28" s="9" t="inlineStr">
        <x:is>
          <x:t xml:space="preserve">66 fields; không monthly performance/default/denial population</x:t>
        </x:is>
      </x:c>
      <x:c r="G28" s="9" t="inlineStr">
        <x:is>
          <x:t xml:space="preserve">https://github.com/susayold/credit-atlas/blob/b997c20/docs/FHFA_PUDB_CREDIT_ACCESS_REVIEW_VI.md</x:t>
        </x:is>
      </x:c>
    </x:row>
    <x:row r="29" ht="50" customHeight="1">
      <x:c r="A29" s="10" t="inlineStr">
        <x:is>
          <x:t xml:space="preserve">NMDB Performance — All geographies</x:t>
        </x:is>
      </x:c>
      <x:c r="B29" s="25" t="inlineStr">
        <x:is>
          <x:t xml:space="preserve">261,856</x:t>
        </x:is>
      </x:c>
      <x:c r="C29" s="10" t="inlineStr">
        <x:is>
          <x:t xml:space="preserve">aggregate rows</x:t>
        </x:is>
      </x:c>
      <x:c r="D29" s="10" t="inlineStr">
        <x:is>
          <x:t xml:space="preserve">2002Q1–2026Q2</x:t>
        </x:is>
      </x:c>
      <x:c r="E29" s="10" t="inlineStr">
        <x:is>
          <x:t xml:space="preserve">P2 full-geography performance context</x:t>
        </x:is>
      </x:c>
      <x:c r="F29" s="10" t="inlineStr">
        <x:is>
          <x:t xml:space="preserve">13 fields; 764 suppressed + 48,028 blank/dot VALUE1; aggregate rates, not loan-level outcomes</x:t>
        </x:is>
      </x:c>
      <x:c r="G29" s="10" t="inlineStr">
        <x:is>
          <x:t xml:space="preserve">https://github.com/susayold/credit-atlas/blob/b997c20/docs/FHFA_NMDB_AGGREGATE_PERFORMANCE_VI.md</x:t>
        </x:is>
      </x:c>
    </x:row>
    <x:row r="30" ht="26.399999618530273" customHeight="1">
      <x:c r="A30" s="10" t="inlineStr">
        <x:is>
          <x:t xml:space="preserve">NMDB Performance — National/census areas</x:t>
        </x:is>
      </x:c>
      <x:c r="B30" s="25" t="inlineStr">
        <x:is>
          <x:t xml:space="preserve">25,088 raw / 1,568 national</x:t>
        </x:is>
      </x:c>
      <x:c r="C30" s="10" t="inlineStr">
        <x:is>
          <x:t xml:space="preserve">aggregate rows</x:t>
        </x:is>
      </x:c>
      <x:c r="D30" s="10" t="inlineStr">
        <x:is>
          <x:t xml:space="preserve">2002Q1–2026Q2</x:t>
        </x:is>
      </x:c>
      <x:c r="E30" s="10" t="inlineStr">
        <x:is>
          <x:t xml:space="preserve">P2 national/census-area performance context</x:t>
        </x:is>
      </x:c>
      <x:c r="F30" s="10" t="inlineStr">
        <x:is>
          <x:t xml:space="preserve">13 fields; latest 2 quarters preliminary; separate from all-geographies and state packages</x:t>
        </x:is>
      </x:c>
      <x:c r="G30" s="10" t="inlineStr">
        <x:is>
          <x:t xml:space="preserve">https://github.com/susayold/credit-atlas/blob/b997c20/docs/NMDB_PERFORMANCE_CONTEXT_VI.md</x:t>
        </x:is>
      </x:c>
    </x:row>
    <x:row r="31" ht="26.399999618530273" customHeight="1">
      <x:c r="A31" s="10" t="inlineStr">
        <x:is>
          <x:t xml:space="preserve">NMDB Performance — States</x:t>
        </x:is>
      </x:c>
      <x:c r="B31" s="25" t="inlineStr">
        <x:is>
          <x:t xml:space="preserve">79,968</x:t>
        </x:is>
      </x:c>
      <x:c r="C31" s="10" t="inlineStr">
        <x:is>
          <x:t xml:space="preserve">aggregate rows</x:t>
        </x:is>
      </x:c>
      <x:c r="D31" s="10" t="inlineStr">
        <x:is>
          <x:t xml:space="preserve">2002Q1–2026Q2</x:t>
        </x:is>
      </x:c>
      <x:c r="E31" s="10" t="inlineStr">
        <x:is>
          <x:t xml:space="preserve">P2 state/DC performance context</x:t>
        </x:is>
      </x:c>
      <x:c r="F31" s="10" t="inlineStr">
        <x:is>
          <x:t xml:space="preserve">13 fields; state package and route are separate; preserve suppression/missingness; not loan-level PD</x:t>
        </x:is>
      </x:c>
      <x:c r="G31" s="10" t="inlineStr">
        <x:is>
          <x:t xml:space="preserve">https://github.com/susayold/credit-atlas/blob/b997c20/docs/FHFA_NMDB_STATE_PERFORMANCE_SOURCE_REVIEW_VI.md</x:t>
        </x:is>
      </x:c>
    </x:row>
    <x:row r="32" ht="24" customHeight="1">
      <x:c r="A32" s="2" t="inlineStr">
        <x:is>
          <x:t xml:space="preserve">LendingClub accepted — Mendeley v1</x:t>
        </x:is>
      </x:c>
      <x:c r="B32" s="2" t="inlineStr">
        <x:is>
          <x:t xml:space="preserve">1,055,054</x:t>
        </x:is>
      </x:c>
      <x:c r="C32" s="2" t="inlineStr">
        <x:is>
          <x:t xml:space="preserve">rows</x:t>
        </x:is>
      </x:c>
      <x:c r="D32" s="2" t="inlineStr">
        <x:is>
          <x:t xml:space="preserve">2016Q1–2020Q2</x:t>
        </x:is>
      </x:c>
      <x:c r="E32" s="2" t="inlineStr">
        <x:is>
          <x:t xml:space="preserve">P1 resolved/expired-loan cohort diagnostics</x:t>
        </x:is>
      </x:c>
      <x:c r="F32" s="2" t="inlineStr">
        <x:is>
          <x:t xml:space="preserve">90 fields; unique id; 838,429 Fully Paid / 216,625 Charged Off; separate from Kaggle snapshot; CC BY 4.0, upstream rights review open</x:t>
        </x:is>
      </x:c>
      <x:c r="G32" s="2" t="inlineStr">
        <x:is>
          <x:t xml:space="preserve">https://data.mendeley.com/datasets/mvvd3dnfyz/1</x:t>
        </x:is>
      </x:c>
    </x:row>
    <x:row r="33">
      <x:c r="A33" t="inlineStr">
        <x:is>
          <x:t xml:space="preserve">LendingClub issuer field dictionary</x:t>
        </x:is>
      </x:c>
      <x:c r="B33" t="inlineStr">
        <x:is>
          <x:t xml:space="preserve">280</x:t>
        </x:is>
      </x:c>
      <x:c r="C33" t="inlineStr">
        <x:is>
          <x:t xml:space="preserve">definitions checked</x:t>
        </x:is>
      </x:c>
      <x:c r="D33" t="inlineStr">
        <x:is>
          <x:t xml:space="preserve">Acquired 2026-10-12</x:t>
        </x:is>
      </x:c>
      <x:c r="E33" t="inlineStr">
        <x:is>
          <x:t xml:space="preserve">P1 source semantics / candidate mapping</x:t>
        </x:is>
      </x:c>
      <x:c r="F33" t="inlineStr">
        <x:is>
          <x:t xml:space="preserve">XLSX definitions do not prove decision-time feature availability; issuer identity and redistribution rights unqualified</x:t>
        </x:is>
      </x:c>
      <x:c r="G33" t="inlineStr">
        <x:is>
          <x:t xml:space="preserve">https://resources.lendingclub.com/LCDataDictionary.xlsx</x:t>
        </x:is>
      </x:c>
    </x:row>
    <x:row r="34" ht="78" customHeight="1">
      <x:c r="A34" s="27" t="inlineStr">
        <x:is>
          <x:t xml:space="preserve">Treasury HAMP quarterly summaries</x:t>
        </x:is>
      </x:c>
      <x:c r="B34" s="27" t="n">
        <x:v>20</x:v>
      </x:c>
      <x:c r="C34" s="27" t="inlineStr">
        <x:is>
          <x:t xml:space="preserve">official PDF reports</x:t>
        </x:is>
      </x:c>
      <x:c r="D34" s="27" t="inlineStr">
        <x:is>
          <x:t xml:space="preserve">2018-Q1–2023-Q1; no 2021-Q3; rates through 72 months after 2009–2017 modifications</x:t>
        </x:is>
      </x:c>
      <x:c r="E34" s="27" t="inlineStr">
        <x:is>
          <x:t xml:space="preserve">Descriptive 60+/90+ delinquency by program/vintage/age</x:t>
        </x:is>
      </x:c>
      <x:c r="F34" s="27" t="str">
        <x:v>2,485 cohort-age rows: 2,142 reported rate pairs; 343 unavailable. 90+ carry-forward after disqualification; paid-off/withdrawn exit denominator. Local cohort API/UI explorer and filtered XLSX export implemented. Not loan-month history/PD; monthly activity gap unresolved; source PDFs stay private.</x:v>
      </x:c>
      <x:c r="G34" s="28" t="inlineStr">
        <x:is>
          <x:t xml:space="preserve">https://github.com/susayold/credit-atlas/blob/main/docs/TREASURY_HAMP_DATA_REVIEW_VI.md</x:t>
        </x:is>
      </x:c>
    </x:row>
  </x:sheetData>
  <x:hyperlinks>
    <x:hyperlink xmlns:r="http://schemas.openxmlformats.org/officeDocument/2006/relationships" ref="G34" r:id="R33f1780029ea41d7"/>
  </x:hyperlinks>
  <x:pageMargins left="0.7" right="0.7" top="0.75" bottom="0.75" header="0.3" footer="0.3"/>
  <x:tableParts count="1">
    <x:tablePart xmlns:r="http://schemas.openxmlformats.org/officeDocument/2006/relationships" r:id="R41661eaa804b48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40" customWidth="1"/>
    <x:col min="2" max="2" width="70" customWidth="1"/>
    <x:col min="3" max="3" width="112" customWidth="1"/>
  </x:cols>
  <x:sheetData>
    <x:row r="1" ht="24" customHeight="1">
      <x:c r="A1" s="2" t="n"/>
      <x:c r="B1" s="2" t="n"/>
      <x:c r="C1" s="2" t="n"/>
    </x:row>
    <x:row r="2" ht="24" customHeight="1">
      <x:c r="A2" s="3" t="inlineStr">
        <x:is>
          <x:t xml:space="preserve">Phân biệt số liệu, imputation và giả định</x:t>
        </x:is>
      </x:c>
      <x:c r="B2" s="2" t="n"/>
      <x:c r="C2" s="2" t="n"/>
    </x:row>
    <x:row r="3" ht="24" customHeight="1">
      <x:c r="A3" s="4" t="inlineStr">
        <x:is>
          <x:t xml:space="preserve">Không có biến forecast mới trong lượt nghiên cứu này. Các ví dụ dưới đây là phương pháp đã có hoặc gate đề xuất.</x:t>
        </x:is>
      </x:c>
      <x:c r="B3" s="4" t="n"/>
      <x:c r="C3" s="4" t="n"/>
    </x:row>
    <x:row r="4" ht="24" customHeight="1">
      <x:c r="A4" s="2" t="n"/>
      <x:c r="B4" s="2" t="n"/>
      <x:c r="C4" s="2" t="n"/>
    </x:row>
    <x:row r="5" ht="34" customHeight="1">
      <x:c r="A5" s="8" t="inlineStr">
        <x:is>
          <x:t xml:space="preserve">Loại giá trị</x:t>
        </x:is>
      </x:c>
      <x:c r="B5" s="8" t="inlineStr">
        <x:is>
          <x:t xml:space="preserve">Ví dụ hiện có</x:t>
        </x:is>
      </x:c>
      <x:c r="C5" s="8" t="inlineStr">
        <x:is>
          <x:t xml:space="preserve">Cách sử dụng và bằng chứng cần</x:t>
        </x:is>
      </x:c>
    </x:row>
    <x:row r="6" ht="48" customHeight="1">
      <x:c r="A6" s="9" t="inlineStr">
        <x:is>
          <x:t xml:space="preserve">Reported</x:t>
        </x:is>
      </x:c>
      <x:c r="B6" s="9" t="inlineStr">
        <x:is>
          <x:t xml:space="preserve">Source UPB, certificate net losses</x:t>
        </x:is>
      </x:c>
      <x:c r="C6" s="9" t="inlineStr">
        <x:is>
          <x:t xml:space="preserve">Giữ sign, unit, date và source reference</x:t>
        </x:is>
      </x:c>
    </x:row>
    <x:row r="7" ht="48" customHeight="1">
      <x:c r="A7" s="10" t="inlineStr">
        <x:is>
          <x:t xml:space="preserve">Derived</x:t>
        </x:is>
      </x:c>
      <x:c r="B7" s="10" t="inlineStr">
        <x:is>
          <x:t xml:space="preserve">Count shares, ratios, movement</x:t>
        </x:is>
      </x:c>
      <x:c r="C7" s="10" t="inlineStr">
        <x:is>
          <x:t xml:space="preserve">Ghi numerator/denominator/filter/formula và reconcile</x:t>
        </x:is>
      </x:c>
    </x:row>
    <x:row r="8" ht="48" customHeight="1">
      <x:c r="A8" s="9" t="inlineStr">
        <x:is>
          <x:t xml:space="preserve">Publisher-imputed / mixed provenance</x:t>
        </x:is>
      </x:c>
      <x:c r="B8" s="9" t="inlineStr">
        <x:is>
          <x:t xml:space="preserve">Một số NSMO X fields</x:t>
        </x:is>
      </x:c>
      <x:c r="C8" s="9" t="inlineStr">
        <x:is>
          <x:t xml:space="preserve">Ghi technical method nguồn; PUF thiếu item-level J flags nên không gán chắc trạng thái từng cell</x:t>
        </x:is>
      </x:c>
    </x:row>
    <x:row r="9" ht="48" customHeight="1">
      <x:c r="A9" s="10" t="inlineStr">
        <x:is>
          <x:t xml:space="preserve">Model preprocessing imputed</x:t>
        </x:is>
      </x:c>
      <x:c r="B9" s="10" t="inlineStr">
        <x:is>
          <x:t xml:space="preserve">Bankruptcy train-median</x:t>
        </x:is>
      </x:c>
      <x:c r="C9" s="10" t="inlineStr">
        <x:is>
          <x:t xml:space="preserve">Fit train-only, giữ missing indicators và original values; không gọi median là income/ratio quan sát</x:t>
        </x:is>
      </x:c>
    </x:row>
    <x:row r="10" ht="48" customHeight="1">
      <x:c r="A10" s="9" t="inlineStr">
        <x:is>
          <x:t xml:space="preserve">Model prediction</x:t>
        </x:is>
      </x:c>
      <x:c r="B10" s="9" t="inlineStr">
        <x:is>
          <x:t xml:space="preserve">Frozen UCI benchmark probabilities</x:t>
        </x:is>
      </x:c>
      <x:c r="C10" s="9" t="inlineStr">
        <x:is>
          <x:t xml:space="preserve">Target/population/horizon/model version/calibration rõ</x:t>
        </x:is>
      </x:c>
    </x:row>
    <x:row r="11" ht="48" customHeight="1">
      <x:c r="A11" s="10" t="inlineStr">
        <x:is>
          <x:t xml:space="preserve">Declared scenario</x:t>
        </x:is>
      </x:c>
      <x:c r="B11" s="10" t="inlineStr">
        <x:is>
          <x:t xml:space="preserve">P4 PD/LGD/EAD, recovery lag, EIR, weights</x:t>
        </x:is>
      </x:c>
      <x:c r="C11" s="10" t="inlineStr">
        <x:is>
          <x:t xml:space="preserve">Ghi ai đặt, lý do hoặc “chưa có empirical calibration”, sensitivity và intended use</x:t>
        </x:is>
      </x:c>
    </x:row>
    <x:row r="12" ht="48" customHeight="1">
      <x:c r="A12" s="9" t="inlineStr">
        <x:is>
          <x:t xml:space="preserve">Forecast</x:t>
        </x:is>
      </x:c>
      <x:c r="B12" s="9" t="inlineStr">
        <x:is>
          <x:t xml:space="preserve">Chưa có forecast mới trong lượt này</x:t>
        </x:is>
      </x:c>
      <x:c r="C12" s="9" t="inlineStr">
        <x:is>
          <x:t xml:space="preserve">Time-ordered backtest, naive benchmark, horizon-specific errors và intervals</x:t>
        </x:is>
      </x:c>
    </x:row>
    <x:row r="13" ht="24" customHeight="1">
      <x:c r="A13" s="2" t="n"/>
      <x:c r="B13" s="2" t="n"/>
      <x:c r="C13" s="2" t="n"/>
    </x:row>
    <x:row r="14" ht="24" customHeight="1">
      <x:c r="A14" s="2" t="inlineStr">
        <x:is>
          <x:t xml:space="preserve">Mỗi phương pháp mới cần: target/horizon; nguồn/as-of; missingness; research/baseline; công thức; validation; uncertainty; use/version.</x:t>
        </x:is>
      </x:c>
      <x:c r="B14" s="2" t="n"/>
      <x:c r="C14" s="2" t="n"/>
    </x:row>
    <x:row r="15" ht="24" customHeight="1">
      <x:c r="A15" s="2" t="n"/>
      <x:c r="B15" s="2" t="n"/>
      <x:c r="C15" s="2" t="n"/>
    </x:row>
    <x:row r="16" ht="24" customHeight="1">
      <x:c r="A16" s="2" t="n"/>
      <x:c r="B16" s="2" t="n"/>
      <x:c r="C16" s="2" t="n"/>
    </x:row>
  </x:sheetData>
  <x:pageMargins left="0.7" right="0.7" top="0.75" bottom="0.75" header="0.3" footer="0.3"/>
  <x:tableParts count="1">
    <x:tablePart xmlns:r="http://schemas.openxmlformats.org/officeDocument/2006/relationships" r:id="R6af7107e48494b69"/>
  </x:tableParts>
</x:worksheet>
</file>