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9cd1a18f4c4e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e hoach" sheetId="1" r:id="R08869772c5ce4a3c"/>
    <x:sheet xmlns:r="http://schemas.openxmlformats.org/officeDocument/2006/relationships" name="50 yeu cau" sheetId="2" r:id="Reb26adbaa3a94a7a"/>
    <x:sheet xmlns:r="http://schemas.openxmlformats.org/officeDocument/2006/relationships" name="Du lieu" sheetId="3" r:id="Rdd9c44a4c6604c26"/>
    <x:sheet xmlns:r="http://schemas.openxmlformats.org/officeDocument/2006/relationships" name="Phuong phap" sheetId="4" r:id="Rea581cc3384140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%"/>
    <x:numFmt numFmtId="202" formatCode="#,##0"/>
  </x:numFmts>
  <x:fonts count="5">
    <x:font>
      <x:sz val="11"/>
      <x:name val="Carlito"/>
    </x:font>
    <x:font>
      <x:sz val="11"/>
      <x:color rgb="FF243447"/>
      <x:name val="Arial"/>
    </x:font>
    <x:font>
      <x:b/>
      <x:sz val="16"/>
      <x:color rgb="FF24384E"/>
      <x:name val="Arial"/>
    </x:font>
    <x:font>
      <x:b/>
      <x:sz val="11"/>
      <x:color rgb="FFFFFFFF"/>
      <x:name val="Arial"/>
    </x:font>
    <x:font>
      <x:b/>
      <x:sz val="11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84E"/>
      </x:patternFill>
    </x:fill>
    <x:fill>
      <x:patternFill patternType="solid">
        <x:fgColor rgb="FFF1F4F8"/>
      </x:patternFill>
    </x:fill>
    <x:fill>
      <x:patternFill patternType="solid">
        <x:fgColor rgb="FFFFF4C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24384E"/>
      </x:bottom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b/>
        <x:color rgb="FF9C57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14021b95bf4cda" /><Relationship Type="http://schemas.openxmlformats.org/officeDocument/2006/relationships/theme" Target="/xl/theme/theme1.xml" Id="Rd7c9d8b533424603" /><Relationship Type="http://schemas.openxmlformats.org/officeDocument/2006/relationships/sharedStrings" Target="/xl/sharedStrings.xml" Id="R33d35432b2a642a9" /><Relationship Type="http://schemas.openxmlformats.org/officeDocument/2006/relationships/worksheet" Target="/xl/worksheets/sheet1.xml" Id="R08869772c5ce4a3c" /><Relationship Type="http://schemas.openxmlformats.org/officeDocument/2006/relationships/worksheet" Target="/xl/worksheets/sheet2.xml" Id="Reb26adbaa3a94a7a" /><Relationship Type="http://schemas.openxmlformats.org/officeDocument/2006/relationships/worksheet" Target="/xl/worksheets/sheet3.xml" Id="Rdd9c44a4c6604c26" /><Relationship Type="http://schemas.openxmlformats.org/officeDocument/2006/relationships/worksheet" Target="/xl/worksheets/sheet4.xml" Id="Rea581cc3384140d9" /></Relationships>
</file>

<file path=xl/tables/table1.xml><?xml version="1.0" encoding="utf-8"?>
<x:table xmlns:x="http://schemas.openxmlformats.org/spreadsheetml/2006/main" id="2" name="NextTasks" displayName="NextTasks" ref="A17:G41" headerRowCount="1" totalsRowCount="0" totalsRowShown="0">
  <x:tableColumns count="7">
    <x:tableColumn id="1" name="ID"/>
    <x:tableColumn id="2" name="Ưu tiên / phạm vi"/>
    <x:tableColumn id="3" name="Công việc và đầu ra"/>
    <x:tableColumn id="4" name="Phụ thuộc"/>
    <x:tableColumn id="5" name="Điều kiện đóng"/>
    <x:tableColumn id="6" name="Trạng thái"/>
    <x:tableColumn id="7" name="Ghi chú tiến độ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quirements" displayName="Requirements" ref="A5:G55" headerRowCount="1" totalsRowCount="0" totalsRowShown="0">
  <x:tableColumns count="7">
    <x:tableColumn id="1" name="ID"/>
    <x:tableColumn id="2" name="Workspace"/>
    <x:tableColumn id="3" name="Chức năng"/>
    <x:tableColumn id="4" name="Đạt (1/0)"/>
    <x:tableColumn id="5" name="Điều kiện nghiệm thu"/>
    <x:tableColumn id="6" name="Khoảng trống / hướng tiếp"/>
    <x:tableColumn id="7" name="Nguồn sco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Inventory" displayName="DataInventory" ref="A5:G29" headerRowCount="1" totalsRowCount="0" totalsRowShown="0">
  <x:tableColumns count="7">
    <x:tableColumn id="1" name="Nguồn"/>
    <x:tableColumn id="2" name="Số lượng"/>
    <x:tableColumn id="3" name="Đơn vị đếm"/>
    <x:tableColumn id="4" name="Phạm vi thời gian"/>
    <x:tableColumn id="5" name="Phù hợp cho"/>
    <x:tableColumn id="6" name="Giới hạn / việc tiếp"/>
    <x:tableColumn id="7" name="Báo cáo nguồ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hodTypes" displayName="MethodTypes" ref="A5:C12" headerRowCount="1" totalsRowCount="0" totalsRowShown="0">
  <x:tableColumns count="3">
    <x:tableColumn id="1" name="Loại giá trị"/>
    <x:tableColumn id="2" name="Ví dụ hiện có"/>
    <x:tableColumn id="3" name="Cách sử dụng và bằng chứng cầ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bdda63251514d0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4d351d8708340f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2561f454771415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a62bdb4297046a7" /></Relationships>
</file>

<file path=xl/worksheets/sheet1.xml><?xml version="1.0" encoding="utf-8"?>
<x:worksheet xmlns:x="http://schemas.openxmlformats.org/spreadsheetml/2006/main">
  <x:sheetPr>
    <x:tabColor rgb="FF24384E"/>
  </x:sheetPr>
  <x:sheetViews>
    <x:sheetView showGridLines="0" workbookViewId="0">
      <x:pane ySplit="17" topLeftCell="A18" activePane="bottomLeft" state="frozen"/>
    </x:sheetView>
  </x:sheetViews>
  <x:sheetFormatPr defaultRowHeight="15"/>
  <x:cols>
    <x:col min="1" max="1" width="14" hidden="0" customWidth="1"/>
    <x:col min="2" max="2" width="22" hidden="0" customWidth="1"/>
    <x:col min="3" max="3" width="58" hidden="0" customWidth="1"/>
    <x:col min="4" max="4" width="34" hidden="0" customWidth="1"/>
    <x:col min="5" max="5" width="65" hidden="0" customWidth="1"/>
    <x:col min="6" max="6" width="24" hidden="0" customWidth="1"/>
    <x:col min="7" max="7" width="36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3" t="str">
        <x:v>CreditAtlas — kế hoạch tiếp theo</x:v>
      </x:c>
      <x:c r="B2" s="2"/>
      <x:c r="C2" s="2"/>
      <x:c r="D2" s="2"/>
      <x:c r="E2" s="2"/>
      <x:c r="F2" s="2"/>
      <x:c r="G2" s="2"/>
    </x:row>
    <x:row r="3" ht="24" customHeight="1">
      <x:c r="A3" s="4" t="str">
        <x:v>Checkpoint 16/10/2026. Tỷ lệ của toàn P1–P5, không phải phần trăm D01 hoặc production readiness.</x:v>
      </x:c>
      <x:c r="B3" s="4"/>
      <x:c r="C3" s="4"/>
      <x:c r="D3" s="4"/>
      <x:c r="E3" s="4"/>
      <x:c r="F3" s="4"/>
      <x:c r="G3" s="4"/>
    </x:row>
    <x:row r="4" ht="24" customHeight="1">
      <x:c r="A4" s="2"/>
      <x:c r="B4" s="2"/>
      <x:c r="C4" s="2"/>
      <x:c r="D4" s="2"/>
      <x:c r="E4" s="2"/>
      <x:c r="F4" s="2"/>
      <x:c r="G4" s="2"/>
    </x:row>
    <x:row r="5" ht="24" customHeight="1">
      <x:c r="A5" s="13" t="str">
        <x:v>Workspace</x:v>
      </x:c>
      <x:c r="B5" s="13" t="str">
        <x:v>Đạt</x:v>
      </x:c>
      <x:c r="C5" s="13" t="str">
        <x:v>Tổng yêu cầu</x:v>
      </x:c>
      <x:c r="D5" s="13" t="str">
        <x:v>Tỷ lệ</x:v>
      </x:c>
      <x:c r="E5" s="2"/>
      <x:c r="F5" s="2"/>
      <x:c r="G5" s="2"/>
    </x:row>
    <x:row r="6" ht="24" customHeight="1">
      <x:c r="A6" s="2" t="str">
        <x:v>P1</x:v>
      </x:c>
      <x:c r="B6" s="2" t="n">
        <x:f>COUNTIFS('50 yeu cau'!$B$6:$B$55,A6,'50 yeu cau'!$D$6:$D$55,1)</x:f>
        <x:v>6</x:v>
      </x:c>
      <x:c r="C6" s="2" t="n">
        <x:f>COUNTIFS('50 yeu cau'!$B$6:$B$55,A6)</x:f>
        <x:v>10</x:v>
      </x:c>
      <x:c r="D6" s="15" t="n">
        <x:f>B6/C6</x:f>
        <x:v>0.6</x:v>
      </x:c>
      <x:c r="E6" s="2"/>
      <x:c r="F6" s="2"/>
      <x:c r="G6" s="2"/>
    </x:row>
    <x:row r="7" ht="24" customHeight="1">
      <x:c r="A7" s="2" t="str">
        <x:v>P2</x:v>
      </x:c>
      <x:c r="B7" s="2" t="n">
        <x:f>COUNTIFS('50 yeu cau'!$B$6:$B$55,A7,'50 yeu cau'!$D$6:$D$55,1)</x:f>
        <x:v>9</x:v>
      </x:c>
      <x:c r="C7" s="2" t="n">
        <x:f>COUNTIFS('50 yeu cau'!$B$6:$B$55,A7)</x:f>
        <x:v>10</x:v>
      </x:c>
      <x:c r="D7" s="15" t="n">
        <x:f>B7/C7</x:f>
        <x:v>0.9</x:v>
      </x:c>
      <x:c r="E7" s="2"/>
      <x:c r="F7" s="2"/>
      <x:c r="G7" s="2"/>
    </x:row>
    <x:row r="8" ht="24" customHeight="1">
      <x:c r="A8" s="2" t="str">
        <x:v>P3</x:v>
      </x:c>
      <x:c r="B8" s="2" t="n">
        <x:f>COUNTIFS('50 yeu cau'!$B$6:$B$55,A8,'50 yeu cau'!$D$6:$D$55,1)</x:f>
        <x:v>8</x:v>
      </x:c>
      <x:c r="C8" s="2" t="n">
        <x:f>COUNTIFS('50 yeu cau'!$B$6:$B$55,A8)</x:f>
        <x:v>10</x:v>
      </x:c>
      <x:c r="D8" s="15" t="n">
        <x:f>B8/C8</x:f>
        <x:v>0.8</x:v>
      </x:c>
      <x:c r="E8" s="2"/>
      <x:c r="F8" s="2"/>
      <x:c r="G8" s="2"/>
    </x:row>
    <x:row r="9" ht="24" customHeight="1">
      <x:c r="A9" s="2" t="str">
        <x:v>P4</x:v>
      </x:c>
      <x:c r="B9" s="2" t="n">
        <x:f>COUNTIFS('50 yeu cau'!$B$6:$B$55,A9,'50 yeu cau'!$D$6:$D$55,1)</x:f>
        <x:v>3</x:v>
      </x:c>
      <x:c r="C9" s="2" t="n">
        <x:f>COUNTIFS('50 yeu cau'!$B$6:$B$55,A9)</x:f>
        <x:v>10</x:v>
      </x:c>
      <x:c r="D9" s="15" t="n">
        <x:f>B9/C9</x:f>
        <x:v>0.3</x:v>
      </x:c>
      <x:c r="E9" s="2"/>
      <x:c r="F9" s="2"/>
      <x:c r="G9" s="2"/>
    </x:row>
    <x:row r="10" ht="24" customHeight="1">
      <x:c r="A10" s="2" t="str">
        <x:v>P5</x:v>
      </x:c>
      <x:c r="B10" s="2" t="n">
        <x:f>COUNTIFS('50 yeu cau'!$B$6:$B$55,A10,'50 yeu cau'!$D$6:$D$55,1)</x:f>
        <x:v>0</x:v>
      </x:c>
      <x:c r="C10" s="2" t="n">
        <x:f>COUNTIFS('50 yeu cau'!$B$6:$B$55,A10)</x:f>
        <x:v>10</x:v>
      </x:c>
      <x:c r="D10" s="15" t="n">
        <x:f>B10/C10</x:f>
        <x:v>0</x:v>
      </x:c>
      <x:c r="E10" s="2"/>
      <x:c r="F10" s="2"/>
      <x:c r="G10" s="2"/>
    </x:row>
    <x:row r="11" ht="24" customHeight="1">
      <x:c r="A11" s="14" t="str">
        <x:v>Tổng</x:v>
      </x:c>
      <x:c r="B11" s="14" t="n">
        <x:f>SUM(B6:B10)</x:f>
        <x:v>26</x:v>
      </x:c>
      <x:c r="C11" s="14" t="n">
        <x:f>SUM(C6:C10)</x:f>
        <x:v>50</x:v>
      </x:c>
      <x:c r="D11" s="16" t="n">
        <x:f>B11/C11</x:f>
        <x:v>0.52</x:v>
      </x:c>
      <x:c r="E11" s="2"/>
      <x:c r="F11" s="2"/>
      <x:c r="G11" s="2"/>
    </x:row>
    <x:row r="12" ht="24" customHeight="1">
      <x:c r="A12" s="2"/>
      <x:c r="B12" s="2"/>
      <x:c r="C12" s="2"/>
      <x:c r="D12" s="2"/>
      <x:c r="E12" s="2"/>
      <x:c r="F12" s="2"/>
      <x:c r="G12" s="2"/>
    </x:row>
    <x:row r="13" ht="24" customHeight="1">
      <x:c r="A13" s="2" t="str">
        <x:v>D01: R1 đạt cho sample 2012; R0/R4 còn một phần; R2/R3 chưa đạt. P5 có implementation dù ledger 0/10.</x:v>
      </x:c>
      <x:c r="B13" s="2"/>
      <x:c r="C13" s="2"/>
      <x:c r="D13" s="2"/>
      <x:c r="E13" s="2"/>
      <x:c r="F13" s="2"/>
      <x:c r="G13" s="2"/>
    </x:row>
    <x:row r="14" ht="24" customHeight="1">
      <x:c r="A14" s="2"/>
      <x:c r="B14" s="2"/>
      <x:c r="C14" s="2"/>
      <x:c r="D14" s="2"/>
      <x:c r="E14" s="2"/>
      <x:c r="F14" s="2"/>
      <x:c r="G14" s="2"/>
    </x:row>
    <x:row r="15" ht="24" customHeight="1">
      <x:c r="A15" s="2" t="str">
        <x:v>Cột Trạng thái và Ghi chú có thể cập nhật. Hoàn tất task không tự thay nghiệm thu 50 yêu cầu.</x:v>
      </x:c>
      <x:c r="B15" s="2"/>
      <x:c r="C15" s="2"/>
      <x:c r="D15" s="2"/>
      <x:c r="E15" s="2"/>
      <x:c r="F15" s="2"/>
      <x:c r="G15" s="2"/>
    </x:row>
    <x:row r="16" ht="24" customHeight="1">
      <x:c r="A16" s="2"/>
      <x:c r="B16" s="2"/>
      <x:c r="C16" s="2"/>
      <x:c r="D16" s="2"/>
      <x:c r="E16" s="2"/>
      <x:c r="F16" s="2"/>
      <x:c r="G16" s="2"/>
    </x:row>
    <x:row r="17" ht="34" customHeight="1">
      <x:c r="A17" s="8" t="str">
        <x:v>ID</x:v>
      </x:c>
      <x:c r="B17" s="8" t="str">
        <x:v>Ưu tiên / phạm vi</x:v>
      </x:c>
      <x:c r="C17" s="8" t="str">
        <x:v>Công việc và đầu ra</x:v>
      </x:c>
      <x:c r="D17" s="8" t="str">
        <x:v>Phụ thuộc</x:v>
      </x:c>
      <x:c r="E17" s="8" t="str">
        <x:v>Điều kiện đóng</x:v>
      </x:c>
      <x:c r="F17" s="8" t="str">
        <x:v>Trạng thái</x:v>
      </x:c>
      <x:c r="G17" s="8" t="str">
        <x:v>Ghi chú tiến độ</x:v>
      </x:c>
    </x:row>
    <x:row r="18" ht="68" customHeight="1">
      <x:c r="A18" s="9" t="str">
        <x:v>N01</x:v>
      </x:c>
      <x:c r="B18" s="9" t="str">
        <x:v>Ngay / shared</x:v>
      </x:c>
      <x:c r="C18" s="9" t="str">
        <x:v>Hợp nhất completion, D01 release, data readiness vào một trạng thái nguồn</x:v>
      </x:c>
      <x:c r="D18" s="9" t="str">
        <x:v>Ledger hiện tại</x:v>
      </x:c>
      <x:c r="E18" s="9" t="str">
        <x:v>Tổng 26/50 tái tạo từ ledger; UI/docs không gọi 52% là D01; historical labels được giữ</x:v>
      </x:c>
      <x:c r="F18" s="17" t="str">
        <x:v>Đang làm</x:v>
      </x:c>
      <x:c r="G18" s="17" t="str">
        <x:v>API/UI derives P1-P5 from the ledger; final local runtime review remains.</x:v>
      </x:c>
    </x:row>
    <x:row r="19" ht="68" customHeight="1">
      <x:c r="A19" s="10" t="str">
        <x:v>N02</x:v>
      </x:c>
      <x:c r="B19" s="10" t="str">
        <x:v>Ngay / shared</x:v>
      </x:c>
      <x:c r="C19" s="10" t="str">
        <x:v>Dataset registry cho source/release/grain/time/rights/use gates</x:v>
      </x:c>
      <x:c r="D19" s="10" t="str">
        <x:v>Receipts đã có</x:v>
      </x:c>
      <x:c r="E19" s="10" t="str">
        <x:v>Mỗi source dùng bởi KPI có record; missing publication không thay bằng download date</x:v>
      </x:c>
      <x:c r="F19" s="17" t="str">
        <x:v>Đang làm</x:v>
      </x:c>
      <x:c r="G19" s="17" t="str">
        <x:v>24 priority source groups registered; remaining work is complete KPI-source coverage and receipt bindings.</x:v>
      </x:c>
    </x:row>
    <x:row r="20" ht="68" customHeight="1">
      <x:c r="A20" s="9" t="str">
        <x:v>N03</x:v>
      </x:c>
      <x:c r="B20" s="9" t="str">
        <x:v>Ngay / shared/P4</x:v>
      </x:c>
      <x:c r="C20" s="9" t="str">
        <x:v>Registry phương pháp/giả định; gắn nhãn actual/derived/imputed/model/scenario</x:v>
      </x:c>
      <x:c r="D20" s="9" t="str">
        <x:v>N02, model/scenario artifacts</x:v>
      </x:c>
      <x:c r="E20" s="9" t="str">
        <x:v>Từng output số đi tới method/input; phân biệt publisher-imputed với app-imputed; không sửa frozen studies</x:v>
      </x:c>
      <x:c r="F20" s="17" t="str">
        <x:v>Đang làm</x:v>
      </x:c>
      <x:c r="G20" s="17" t="str">
        <x:v>Seven provenance types and nine method cards registered; remaining work is output-level KPI/input lineage.</x:v>
      </x:c>
    </x:row>
    <x:row r="21" ht="68" customHeight="1">
      <x:c r="A21" s="10" t="str">
        <x:v>N04</x:v>
      </x:c>
      <x:c r="B21" s="10" t="str">
        <x:v>Ngay / engineering</x:v>
      </x:c>
      <x:c r="C21" s="10" t="str">
        <x:v>Public regression receipt, route inventory, runtime profiling</x:v>
      </x:c>
      <x:c r="D21" s="10" t="str">
        <x:v>Public checkout</x:v>
      </x:c>
      <x:c r="E21" s="10" t="str">
        <x:v>Pass/fail/skip theo môi trường; đo cold/warm p50/p95 riêng; giải thích suite-view timeout</x:v>
      </x:c>
      <x:c r="F21" s="17" t="str">
        <x:v>Chưa bắt đầu</x:v>
      </x:c>
      <x:c r="G21" s="17" t="str"/>
    </x:row>
    <x:row r="22" ht="68" customHeight="1">
      <x:c r="A22" s="9" t="str">
        <x:v>N05</x:v>
      </x:c>
      <x:c r="B22" s="9" t="str">
        <x:v>Tiếp theo / market</x:v>
      </x:c>
      <x:c r="C22" s="9" t="str">
        <x:v>NMDB New/Outstanding canonical aggregate mart</x:v>
      </x:c>
      <x:c r="D22" s="9" t="str">
        <x:v>Raw FHFA đã audited</x:v>
      </x:c>
      <x:c r="E22" s="9" t="str">
        <x:v>Unique source key, count/amount weighting và units đúng; suppression/null giữ nguyên</x:v>
      </x:c>
      <x:c r="F22" s="17" t="str">
        <x:v>Chưa bắt đầu</x:v>
      </x:c>
      <x:c r="G22" s="17" t="str"/>
    </x:row>
    <x:row r="23" ht="68" customHeight="1">
      <x:c r="A23" s="10" t="str">
        <x:v>N06</x:v>
      </x:c>
      <x:c r="B23" s="10" t="str">
        <x:v>Tiếp theo / market</x:v>
      </x:c>
      <x:c r="C23" s="10" t="str">
        <x:v>NMDB app + workbook theo geography/market/period/measure</x:v>
      </x:c>
      <x:c r="D23" s="10" t="str">
        <x:v>N05</x:v>
      </x:c>
      <x:c r="E23" s="10" t="str">
        <x:v>Filter parity API/Excel; denominator/units hiện cạnh KPI; không xuất raw vượt worksheet limit</x:v>
      </x:c>
      <x:c r="F23" s="17" t="str">
        <x:v>Chưa bắt đầu</x:v>
      </x:c>
      <x:c r="G23" s="17" t="str"/>
    </x:row>
    <x:row r="24" ht="68" customHeight="1">
      <x:c r="A24" s="9" t="str">
        <x:v>N07</x:v>
      </x:c>
      <x:c r="B24" s="9" t="str">
        <x:v>Cao / P5</x:v>
      </x:c>
      <x:c r="C24" s="9" t="str">
        <x:v>Toyota recovery components và exception ledger</x:v>
      </x:c>
      <x:c r="D24" s="9" t="str">
        <x:v>Panels/certificates/EX-103 đã có</x:v>
      </x:c>
      <x:c r="E24" s="9" t="str">
        <x:v>51+29 kỳ có bridge; residual mỗi kỳ giải thích hoặc unresolved có bằng chứng; không ép zero</x:v>
      </x:c>
      <x:c r="F24" s="17" t="str">
        <x:v>Chưa bắt đầu</x:v>
      </x:c>
      <x:c r="G24" s="17" t="str"/>
    </x:row>
    <x:row r="25" ht="68" customHeight="1">
      <x:c r="A25" s="10" t="str">
        <x:v>N08</x:v>
      </x:c>
      <x:c r="B25" s="10" t="str">
        <x:v>Cao / P5</x:v>
      </x:c>
      <x:c r="C25" s="10" t="str">
        <x:v>Nissan event/DPD/recovery exceptions theo thời gian</x:v>
      </x:c>
      <x:c r="D25" s="10" t="str">
        <x:v>Nissan 23 kỳ, N07 pattern</x:v>
      </x:c>
      <x:c r="E25" s="10" t="str">
        <x:v>Tái tạo ngoại lệ 07/2025 và DPD 06/2025; rule không được chọn chỉ vì khớp một kỳ</x:v>
      </x:c>
      <x:c r="F25" s="17" t="str">
        <x:v>Chưa bắt đầu</x:v>
      </x:c>
      <x:c r="G25" s="17" t="str"/>
    </x:row>
    <x:row r="26" ht="68" customHeight="1">
      <x:c r="A26" s="9" t="str">
        <x:v>N09</x:v>
      </x:c>
      <x:c r="B26" s="9" t="str">
        <x:v>Cao / P5</x:v>
      </x:c>
      <x:c r="C26" s="9" t="str">
        <x:v>Surveillance release gộp các deal bằng contract riêng</x:v>
      </x:c>
      <x:c r="D26" s="9" t="str">
        <x:v>N07/N08</x:v>
      </x:c>
      <x:c r="E26" s="9" t="str">
        <x:v>KPI source-backed, exception drilldown, source links, Excel và analyst finding; không gọi unresolved recovery là LGD</x:v>
      </x:c>
      <x:c r="F26" s="17" t="str">
        <x:v>Chưa bắt đầu</x:v>
      </x:c>
      <x:c r="G26" s="17" t="str"/>
    </x:row>
    <x:row r="27" ht="68" customHeight="1">
      <x:c r="A27" s="10" t="str">
        <x:v>N10</x:v>
      </x:c>
      <x:c r="B27" s="10" t="str">
        <x:v>Đường găng / D01</x:v>
      </x:c>
      <x:c r="C27" s="10" t="str">
        <x:v>Freddie access, pilot annual sample, release/layout audit</x:v>
      </x:c>
      <x:c r="D27" s="10" t="str">
        <x:v>Authenticated access</x:v>
      </x:c>
      <x:c r="E27" s="10" t="str">
        <x:v>Official receipt/hash, parser/source counts, observed cutoff và resource budget đạt</x:v>
      </x:c>
      <x:c r="F27" s="17" t="str">
        <x:v>Chờ truy cập</x:v>
      </x:c>
      <x:c r="G27" s="17" t="str"/>
    </x:row>
    <x:row r="28" ht="68" customHeight="1">
      <x:c r="A28" s="9" t="str">
        <x:v>N11</x:v>
      </x:c>
      <x:c r="B28" s="9" t="str">
        <x:v>Đường găng / D01</x:v>
      </x:c>
      <x:c r="C28" s="9" t="str">
        <x:v>Multi-vintage source/labels/support/temporal protocol</x:v>
      </x:c>
      <x:c r="D28" s="9" t="str">
        <x:v>N10</x:v>
      </x:c>
      <x:c r="E28" s="9" t="str">
        <x:v>M01-006/007/015/016 đủ; final-access policy trước phân tích OOT; maturity và overlap audits</x:v>
      </x:c>
      <x:c r="F28" s="17" t="str">
        <x:v>Chưa bắt đầu</x:v>
      </x:c>
      <x:c r="G28" s="17" t="str"/>
    </x:row>
    <x:row r="29" ht="68" customHeight="1">
      <x:c r="A29" s="10" t="str">
        <x:v>N12</x:v>
      </x:c>
      <x:c r="B29" s="10" t="str">
        <x:v>Sau R2 / D01</x:v>
      </x:c>
      <x:c r="C29" s="10" t="str">
        <x:v>Constant + logistic, then bounded boosting; calibration/freeze/OOT</x:v>
      </x:c>
      <x:c r="D29" s="10" t="str">
        <x:v>N11</x:v>
      </x:c>
      <x:c r="E29" s="10" t="str">
        <x:v>Cùng target/cohort, train-only features, metrics/uncertainty, frozen selection; có thể kết luận không đạt performance</x:v>
      </x:c>
      <x:c r="F29" s="17" t="str">
        <x:v>Chưa bắt đầu</x:v>
      </x:c>
      <x:c r="G29" s="17" t="str"/>
    </x:row>
    <x:row r="30" ht="68" customHeight="1">
      <x:c r="A30" s="9" t="str">
        <x:v>N13</x:v>
      </x:c>
      <x:c r="B30" s="9" t="str">
        <x:v>Có điều kiện / Ginnie</x:v>
      </x:c>
      <x:c r="C30" s="9" t="str">
        <x:v>Quarterly pilot và joint key/removal semantics</x:v>
      </x:c>
      <x:c r="D30" s="9" t="str">
        <x:v>Session-file path do user cung cấp</x:v>
      </x:c>
      <x:c r="E30" s="9" t="str">
        <x:v>File thật/hash/layout/totals; source case riêng; không tăng Freddie vintage count</x:v>
      </x:c>
      <x:c r="F30" s="17" t="str">
        <x:v>Chờ truy cập</x:v>
      </x:c>
      <x:c r="G30" s="17" t="str"/>
    </x:row>
    <x:row r="31" ht="68" customHeight="1">
      <x:c r="A31" s="10" t="str">
        <x:v>N14</x:v>
      </x:c>
      <x:c r="B31" s="10" t="str">
        <x:v>Song song / P1</x:v>
      </x:c>
      <x:c r="C31" s="10" t="str">
        <x:v>Bondora label/maturity/as-of qualification</x:v>
      </x:c>
      <x:c r="D31" s="10" t="str">
        <x:v>Snapshot/dictionary đã có</x:v>
      </x:c>
      <x:c r="E31" s="10" t="str">
        <x:v>3-way true/false/NULL giữ đúng, country/time support; no post-booking predictors</x:v>
      </x:c>
      <x:c r="F31" s="17" t="str">
        <x:v>Chưa bắt đầu</x:v>
      </x:c>
      <x:c r="G31" s="17" t="str"/>
    </x:row>
    <x:row r="32" ht="68" customHeight="1">
      <x:c r="A32" s="9" t="str">
        <x:v>N15</x:v>
      </x:c>
      <x:c r="B32" s="9" t="str">
        <x:v>Sau qualify / P1</x:v>
      </x:c>
      <x:c r="C32" s="9" t="str">
        <x:v>Booked-loan descriptive cohort và candidate temporal benchmark</x:v>
      </x:c>
      <x:c r="D32" s="9" t="str">
        <x:v>N14</x:v>
      </x:c>
      <x:c r="E32" s="9" t="str">
        <x:v>Target và availability được chốt trước fit; repeat-borrower caveat; không đóng application underwriting chỉ bằng booked data</x:v>
      </x:c>
      <x:c r="F32" s="17" t="str">
        <x:v>Chưa bắt đầu</x:v>
      </x:c>
      <x:c r="G32" s="17" t="str"/>
    </x:row>
    <x:row r="33" ht="68" customHeight="1">
      <x:c r="A33" s="10" t="str">
        <x:v>N16</x:v>
      </x:c>
      <x:c r="B33" s="10" t="str">
        <x:v>Cao / P3</x:v>
      </x:c>
      <x:c r="C33" s="10" t="str">
        <x:v>Một complete facility/debt-service case</x:v>
      </x:c>
      <x:c r="D33" s="10" t="str">
        <x:v>Executed terms, payment/EIR evidence</x:v>
      </x:c>
      <x:c r="E33" s="10" t="str">
        <x:v>Cash schedule + term lineage, amendment dates, source reconciliation, unavailable inputs có lý do</x:v>
      </x:c>
      <x:c r="F33" s="17" t="str">
        <x:v>Chưa bắt đầu</x:v>
      </x:c>
      <x:c r="G33" s="17" t="str"/>
    </x:row>
    <x:row r="34" ht="68" customHeight="1">
      <x:c r="A34" s="9" t="str">
        <x:v>N17</x:v>
      </x:c>
      <x:c r="B34" s="9" t="str">
        <x:v>Sau N16 / P3</x:v>
      </x:c>
      <x:c r="C34" s="9" t="str">
        <x:v>Covenant definitions/adjustments/headroom + Excel memo</x:v>
      </x:c>
      <x:c r="D34" s="9" t="str">
        <x:v>N16</x:v>
      </x:c>
      <x:c r="E34" s="9" t="str">
        <x:v>Test date/threshold/adjustments đúng scope; unknown legal applicability không trả breach badge</x:v>
      </x:c>
      <x:c r="F34" s="17" t="str">
        <x:v>Chưa bắt đầu</x:v>
      </x:c>
      <x:c r="G34" s="17" t="str"/>
    </x:row>
    <x:row r="35" ht="68" customHeight="1">
      <x:c r="A35" s="10" t="str">
        <x:v>N18</x:v>
      </x:c>
      <x:c r="B35" s="10" t="str">
        <x:v>Có điều kiện / P4</x:v>
      </x:c>
      <x:c r="C35" s="10" t="str">
        <x:v>Actual contract/exposure/obligor adapter</x:v>
      </x:c>
      <x:c r="D35" s="10" t="str">
        <x:v>N16 hoặc loan contracts hợp lệ</x:v>
      </x:c>
      <x:c r="E35" s="10" t="str">
        <x:v>Actual schedule/EIR/group IDs và reconciled balance; no cross-currency sums</x:v>
      </x:c>
      <x:c r="F35" s="17" t="str">
        <x:v>Chưa bắt đầu</x:v>
      </x:c>
      <x:c r="G35" s="17" t="str"/>
    </x:row>
    <x:row r="36" ht="68" customHeight="1">
      <x:c r="A36" s="9" t="str">
        <x:v>N19</x:v>
      </x:c>
      <x:c r="B36" s="9" t="str">
        <x:v>Sau N18 / P4</x:v>
      </x:c>
      <x:c r="C36" s="9" t="str">
        <x:v>Research EL/ECL qualification pilot</x:v>
      </x:c>
      <x:c r="D36" s="9" t="str">
        <x:v>N18 + compatible PD/recovery evidence</x:v>
      </x:c>
      <x:c r="E36" s="9" t="str">
        <x:v>Matching target/horizon/population, calibrated inputs hoặc assumptions rõ; staging policy và timing audit</x:v>
      </x:c>
      <x:c r="F36" s="17" t="str">
        <x:v>Chưa bắt đầu</x:v>
      </x:c>
      <x:c r="G36" s="17" t="str"/>
    </x:row>
    <x:row r="37" ht="68" customHeight="1">
      <x:c r="A37" s="10" t="str">
        <x:v>N20</x:v>
      </x:c>
      <x:c r="B37" s="10" t="str">
        <x:v>Shared / delivery</x:v>
      </x:c>
      <x:c r="C37" s="10" t="str">
        <x:v>Excel package conventions và filtered export parity</x:v>
      </x:c>
      <x:c r="D37" s="10" t="str">
        <x:v>N02/N03</x:v>
      </x:c>
      <x:c r="E37" s="10" t="str">
        <x:v>Dictionary/KPI/exceptions/review consistent; no truncation, formula/number precision và native-engine checks</x:v>
      </x:c>
      <x:c r="F37" s="17" t="str">
        <x:v>Chưa bắt đầu</x:v>
      </x:c>
      <x:c r="G37" s="17" t="str"/>
    </x:row>
    <x:row r="38" ht="68" customHeight="1">
      <x:c r="A38" s="9" t="str">
        <x:v>N21</x:v>
      </x:c>
      <x:c r="B38" s="9" t="str">
        <x:v>Shared / engineering</x:v>
      </x:c>
      <x:c r="C38" s="9" t="str">
        <x:v>CI source-only, private-data test runner, incremental route modularization</x:v>
      </x:c>
      <x:c r="D38" s="9" t="str">
        <x:v>N04</x:v>
      </x:c>
      <x:c r="E38" s="9" t="str">
        <x:v>Public CI không cần private data; declared skips; dependencies pinned; existing export contracts giữ nguyên</x:v>
      </x:c>
      <x:c r="F38" s="17" t="str">
        <x:v>Chưa bắt đầu</x:v>
      </x:c>
      <x:c r="G38" s="17" t="str"/>
    </x:row>
    <x:row r="39" ht="68" customHeight="1">
      <x:c r="A39" s="10" t="str">
        <x:v>N22</x:v>
      </x:c>
      <x:c r="B39" s="10" t="str">
        <x:v>Shared / review</x:v>
      </x:c>
      <x:c r="C39" s="10" t="str">
        <x:v>Review ownership, exception lifecycle và audit trail</x:v>
      </x:c>
      <x:c r="D39" s="10" t="str">
        <x:v>N01/N03</x:v>
      </x:c>
      <x:c r="E39" s="10" t="str">
        <x:v>Assigned/reviewed/closed có evidence; authentication chỉ khi mở multi-user scope, không đổi local review thành bank approval</x:v>
      </x:c>
      <x:c r="F39" s="17" t="str">
        <x:v>Chưa bắt đầu</x:v>
      </x:c>
      <x:c r="G39" s="17" t="str"/>
    </x:row>
    <x:row r="40" ht="68" customHeight="1">
      <x:c r="A40" s="9" t="str">
        <x:v>N23</x:v>
      </x:c>
      <x:c r="B40" s="9" t="str">
        <x:v>Đóng gói</x:v>
      </x:c>
      <x:c r="C40" s="9" t="str">
        <x:v>Năm case-study deliverables cùng một app</x:v>
      </x:c>
      <x:c r="D40" s="9" t="str">
        <x:v>Các slice đã nghiệm thu</x:v>
      </x:c>
      <x:c r="E40" s="9" t="str">
        <x:v>Mỗi case có business question, data, methods, results, limitations, reproduction, analyst Excel</x:v>
      </x:c>
      <x:c r="F40" s="17" t="str">
        <x:v>Chưa bắt đầu</x:v>
      </x:c>
      <x:c r="G40" s="17" t="str"/>
    </x:row>
    <x:row r="41" ht="68" customHeight="1">
      <x:c r="A41" s="10" t="str">
        <x:v>N24</x:v>
      </x:c>
      <x:c r="B41" s="10" t="str">
        <x:v>Mở rộng sau</x:v>
      </x:c>
      <x:c r="C41" s="10" t="str">
        <x:v>Vietnam financial-report pilot hoặc loan-data partner</x:v>
      </x:c>
      <x:c r="D41" s="10" t="str">
        <x:v>Mục tiêu sử dụng/data rights rõ</x:v>
      </x:c>
      <x:c r="E41" s="10" t="str">
        <x:v>Hạch toán/đơn vị/thời điểm hợp lệ; không áp nguyên PD benchmark nước ngoài; giữ separate acceptance</x:v>
      </x:c>
      <x:c r="F41" s="17" t="str">
        <x:v>Chưa bắt đầu</x:v>
      </x:c>
      <x:c r="G41" s="17" t="str"/>
    </x:row>
    <x:row r="42" ht="24" customHeight="1">
      <x:c r="A42" s="2"/>
      <x:c r="B42" s="2"/>
      <x:c r="C42" s="2"/>
      <x:c r="D42" s="2"/>
      <x:c r="E42" s="2"/>
      <x:c r="F42" s="2"/>
      <x:c r="G42" s="2"/>
    </x:row>
    <x:row r="43" ht="24" customHeight="1">
      <x:c r="A43" s="2"/>
      <x:c r="B43" s="2"/>
      <x:c r="C43" s="2"/>
      <x:c r="D43" s="2"/>
      <x:c r="E43" s="2"/>
      <x:c r="F43" s="2"/>
      <x:c r="G43" s="2"/>
    </x:row>
  </x:sheetData>
  <x:conditionalFormatting sqref="F18:F41">
    <x:cfRule type="containsText" dxfId="0" priority="1" operator="containsText" text="Chờ"/>
  </x:conditionalFormatting>
  <x:dataValidations count="1">
    <x:dataValidation type="list" sqref="F18:F41">
      <x:formula1>"Chưa bắt đầu,Đang làm,Chờ truy cập,Chờ dữ liệu,Cần nghiên cứu,Đã nghiệm thu"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dda63251514d0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34" hidden="0" customWidth="1"/>
    <x:col min="4" max="4" width="15" hidden="0" customWidth="1"/>
    <x:col min="5" max="5" width="68" hidden="0" customWidth="1"/>
    <x:col min="6" max="6" width="62" hidden="0" customWidth="1"/>
    <x:col min="7" max="7" width="6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3" t="str">
        <x:v>50 yêu cầu và phạm vi nghiệm thu</x:v>
      </x:c>
      <x:c r="B2" s="2"/>
      <x:c r="C2" s="2"/>
      <x:c r="D2" s="2"/>
      <x:c r="E2" s="2"/>
      <x:c r="F2" s="2"/>
      <x:c r="G2" s="2"/>
    </x:row>
    <x:row r="3" ht="24" customHeight="1">
      <x:c r="A3" s="4" t="str">
        <x:v>Ngày 16/10/2026. Đạt = 1 chỉ trong scope hiện tại. Không sửa để nâng tỷ lệ nếu chưa có evidence.</x:v>
      </x:c>
      <x:c r="B3" s="4"/>
      <x:c r="C3" s="4"/>
      <x:c r="D3" s="4"/>
      <x:c r="E3" s="4"/>
      <x:c r="F3" s="4"/>
      <x:c r="G3" s="4"/>
    </x:row>
    <x:row r="4" ht="24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ID</x:v>
      </x:c>
      <x:c r="B5" s="8" t="str">
        <x:v>Workspace</x:v>
      </x:c>
      <x:c r="C5" s="8" t="str">
        <x:v>Chức năng</x:v>
      </x:c>
      <x:c r="D5" s="8" t="str">
        <x:v>Đạt (1/0)</x:v>
      </x:c>
      <x:c r="E5" s="8" t="str">
        <x:v>Điều kiện nghiệm thu</x:v>
      </x:c>
      <x:c r="F5" s="8" t="str">
        <x:v>Khoảng trống / hướng tiếp</x:v>
      </x:c>
      <x:c r="G5" s="8" t="str">
        <x:v>Nguồn scope</x:v>
      </x:c>
    </x:row>
    <x:row r="6" ht="68" customHeight="1">
      <x:c r="A6" s="9" t="str">
        <x:v>P1.01</x:v>
      </x:c>
      <x:c r="B6" s="9" t="str">
        <x:v>P1</x:v>
      </x:c>
      <x:c r="C6" s="9" t="str">
        <x:v>Dữ liệu &amp; target</x:v>
      </x:c>
      <x:c r="D6" s="11" t="n">
        <x:v>1</x:v>
      </x:c>
      <x:c r="E6" s="9" t="str">
        <x:v>Client/history counts reconcile; source ID không là predictor; tháng và missing sentinels có nghĩa rõ.</x:v>
      </x:c>
      <x:c r="F6" s="9" t="str">
        <x:v>Thêm cohort theo thời gian và nguồn phù hợp thị trường muốn triển khai.</x:v>
      </x:c>
      <x:c r="G6" s="9" t="str">
        <x:v>https://github.com/susayold/credit-atlas/blob/b997c20/docs/P1_DATA_TARGET_ACCEPTANCE_VI.md</x:v>
      </x:c>
    </x:row>
    <x:row r="7" ht="68" customHeight="1">
      <x:c r="A7" s="10" t="str">
        <x:v>P1.02</x:v>
      </x:c>
      <x:c r="B7" s="10" t="str">
        <x:v>P1</x:v>
      </x:c>
      <x:c r="C7" s="10" t="str">
        <x:v>Application underwriting</x:v>
      </x:c>
      <x:c r="D7" s="12" t="n">
        <x:v>0</x:v>
      </x:c>
      <x:c r="E7" s="10" t="str">
        <x:v>Không dùng bill/status sau booking làm approval-time feature; có OOT và intended-use review.</x:v>
      </x:c>
      <x:c r="F7" s="10" t="str">
        <x:v>Thiết kế application schema và lấy nguồn có quyền truy cập trước khi fit.</x:v>
      </x:c>
      <x:c r="G7" s="10" t="str">
        <x:v>https://github.com/susayold/credit-atlas/blob/b997c20/docs/COMPLETION_REQUIREMENTS_50.json</x:v>
      </x:c>
    </x:row>
    <x:row r="8" ht="68" customHeight="1">
      <x:c r="A8" s="9" t="str">
        <x:v>P1.03</x:v>
      </x:c>
      <x:c r="B8" s="9" t="str">
        <x:v>P1</x:v>
      </x:c>
      <x:c r="C8" s="9" t="str">
        <x:v>Behavioral model &amp; validation</x:v>
      </x:c>
      <x:c r="D8" s="11" t="n">
        <x:v>1</x:v>
      </x:c>
      <x:c r="E8" s="9" t="str">
        <x:v>Không tune trên final test; random split được ghi rõ; bin rỗng không vẽ thành zero.</x:v>
      </x:c>
      <x:c r="F8" s="9" t="str">
        <x:v>Thêm cohort ngoài thời gian; kiểm tra calibration theo population triển khai.</x:v>
      </x:c>
      <x:c r="G8" s="9" t="str">
        <x:v>https://github.com/susayold/credit-atlas/blob/b997c20/docs/P1_BEHAVIORAL_VALIDATION_ACCEPTANCE_VI.md</x:v>
      </x:c>
    </x:row>
    <x:row r="9" ht="68" customHeight="1">
      <x:c r="A9" s="10" t="str">
        <x:v>P1.04</x:v>
      </x:c>
      <x:c r="B9" s="10" t="str">
        <x:v>P1</x:v>
      </x:c>
      <x:c r="C9" s="10" t="str">
        <x:v>Decision policy</x:v>
      </x:c>
      <x:c r="D9" s="12" t="n">
        <x:v>1</x:v>
      </x:c>
      <x:c r="E9" s="10" t="str">
        <x:v>Không tự reassignment khi vượt capacity; cost units không tự gọi là cash loss; validation comparisons là exploratory.</x:v>
      </x:c>
      <x:c r="F9" s="10" t="str">
        <x:v>Đo chi phí vận hành thật, daily inflow và reject outcomes trước policy production.</x:v>
      </x:c>
      <x:c r="G9" s="10" t="str">
        <x:v>https://github.com/susayold/credit-atlas/blob/b997c20/docs/P1_POLICY_SUBGROUP_ACCEPTANCE_VI.md</x:v>
      </x:c>
    </x:row>
    <x:row r="10" ht="68" customHeight="1">
      <x:c r="A10" s="9" t="str">
        <x:v>P1.05</x:v>
      </x:c>
      <x:c r="B10" s="9" t="str">
        <x:v>P1</x:v>
      </x:c>
      <x:c r="C10" s="9" t="str">
        <x:v>Affordability</x:v>
      </x:c>
      <x:c r="D10" s="11" t="n">
        <x:v>0</x:v>
      </x:c>
      <x:c r="E10" s="9" t="str">
        <x:v>Không suy income từ credit limit; DTI phải ghi denominator, kỳ và policy threshold.</x:v>
      </x:c>
      <x:c r="F10" s="9" t="str">
        <x:v>Thêm intake income/cash-flow và debt-obligation schema.</x:v>
      </x:c>
      <x:c r="G10" s="9" t="str">
        <x:v>https://github.com/susayold/credit-atlas/blob/b997c20/docs/COMPLETION_REQUIREMENTS_50.json</x:v>
      </x:c>
    </x:row>
    <x:row r="11" ht="68" customHeight="1">
      <x:c r="A11" s="10" t="str">
        <x:v>P1.06</x:v>
      </x:c>
      <x:c r="B11" s="10" t="str">
        <x:v>P1</x:v>
      </x:c>
      <x:c r="C11" s="10" t="str">
        <x:v>Limit &amp; pricing</x:v>
      </x:c>
      <x:c r="D11" s="12" t="n">
        <x:v>0</x:v>
      </x:c>
      <x:c r="E11" s="10" t="str">
        <x:v>Không gọi price tối ưu khi thiếu cost/take-up evidence; không mượn PD khác target.</x:v>
      </x:c>
      <x:c r="F11" s="10" t="str">
        <x:v>Thu thập contract economics và thiết kế policy experiments.</x:v>
      </x:c>
      <x:c r="G11" s="10" t="str">
        <x:v>https://github.com/susayold/credit-atlas/blob/b997c20/docs/COMPLETION_REQUIREMENTS_50.json</x:v>
      </x:c>
    </x:row>
    <x:row r="12" ht="68" customHeight="1">
      <x:c r="A12" s="9" t="str">
        <x:v>P1.07</x:v>
      </x:c>
      <x:c r="B12" s="9" t="str">
        <x:v>P1</x:v>
      </x:c>
      <x:c r="C12" s="9" t="str">
        <x:v>Giải thích từng hồ sơ</x:v>
      </x:c>
      <x:c r="D12" s="11" t="n">
        <x:v>1</x:v>
      </x:c>
      <x:c r="E12" s="9" t="str">
        <x:v>Contributions cộng về prediction đúng tolerance; references/source pinned; không gọi là nguyên nhân hoặc adverse-action reason.</x:v>
      </x:c>
      <x:c r="F12" s="9" t="str">
        <x:v>Kiểm tra reference sensitivity và qualification trước scoring hồ sơ mới.</x:v>
      </x:c>
      <x:c r="G12" s="9" t="str">
        <x:v>https://github.com/susayold/credit-atlas/blob/b997c20/docs/P1_EXPLANATIONS_SAVED_ACCEPTANCE_VI.md</x:v>
      </x:c>
    </x:row>
    <x:row r="13" ht="68" customHeight="1">
      <x:c r="A13" s="10" t="str">
        <x:v>P1.08</x:v>
      </x:c>
      <x:c r="B13" s="10" t="str">
        <x:v>P1</x:v>
      </x:c>
      <x:c r="C13" s="10" t="str">
        <x:v>Collections workflow</x:v>
      </x:c>
      <x:c r="D13" s="12" t="n">
        <x:v>0</x:v>
      </x:c>
      <x:c r="E13" s="10" t="str">
        <x:v>Behavioral score không chứng minh uplift; không tạo SLA/contact events giả.</x:v>
      </x:c>
      <x:c r="F13" s="10" t="str">
        <x:v>Thêm event-level collections data và analyst case ownership.</x:v>
      </x:c>
      <x:c r="G13" s="10" t="str">
        <x:v>https://github.com/susayold/credit-atlas/blob/b997c20/docs/COMPLETION_REQUIREMENTS_50.json</x:v>
      </x:c>
    </x:row>
    <x:row r="14" ht="68" customHeight="1">
      <x:c r="A14" s="9" t="str">
        <x:v>P1.09</x:v>
      </x:c>
      <x:c r="B14" s="9" t="str">
        <x:v>P1</x:v>
      </x:c>
      <x:c r="C14" s="9" t="str">
        <x:v>Subgroup &amp; monitoring</x:v>
      </x:c>
      <x:c r="D14" s="11" t="n">
        <x:v>1</x:v>
      </x:c>
      <x:c r="E14" s="9" t="str">
        <x:v>Bỏ demographic predictors không chứng minh fairness; small groups không được gán ranking metrics; chưa có temporal drift.</x:v>
      </x:c>
      <x:c r="F14" s="9" t="str">
        <x:v>Thu thập monitoring cohorts theo thời gian và định nghĩa escalation thresholds.</x:v>
      </x:c>
      <x:c r="G14" s="9" t="str">
        <x:v>https://github.com/susayold/credit-atlas/blob/b997c20/docs/P1_POLICY_SUBGROUP_ACCEPTANCE_VI.md</x:v>
      </x:c>
    </x:row>
    <x:row r="15" ht="68" customHeight="1">
      <x:c r="A15" s="10" t="str">
        <x:v>P1.10</x:v>
      </x:c>
      <x:c r="B15" s="10" t="str">
        <x:v>P1</x:v>
      </x:c>
      <x:c r="C15" s="10" t="str">
        <x:v>Model evidence &amp; governance</x:v>
      </x:c>
      <x:c r="D15" s="12" t="n">
        <x:v>1</x:v>
      </x:c>
      <x:c r="E15" s="10" t="str">
        <x:v>Không refit/rescore khi mở màn; benchmark Taiwan không trở thành Vietnam PD; chưa có authenticated sign-off.</x:v>
      </x:c>
      <x:c r="F15" s="10" t="str">
        <x:v>Thêm model-review ownership, monitoring protocol và intended-use approval ngoài benchmark.</x:v>
      </x:c>
      <x:c r="G15" s="10" t="str">
        <x:v>https://github.com/susayold/credit-atlas/blob/b997c20/docs/P1_MODEL_DOSSIER_ACCEPTANCE_VI.md</x:v>
      </x:c>
    </x:row>
    <x:row r="16" ht="68" customHeight="1">
      <x:c r="A16" s="9" t="str">
        <x:v>P2.01</x:v>
      </x:c>
      <x:c r="B16" s="9" t="str">
        <x:v>P2</x:v>
      </x:c>
      <x:c r="C16" s="9" t="str">
        <x:v>Source &amp; run explorer</x:v>
      </x:c>
      <x:c r="D16" s="11" t="n">
        <x:v>1</x:v>
      </x:c>
      <x:c r="E16" s="9" t="str">
        <x:v>Không gọi sample50k là toàn thị trường; không thay extraction time bằng publication time.</x:v>
      </x:c>
      <x:c r="F16" s="9" t="str">
        <x:v>Thêm authorized annual vintages và reconcile từng acquisition.</x:v>
      </x:c>
      <x:c r="G16" s="9" t="str">
        <x:v>https://github.com/susayold/credit-atlas/blob/b997c20/docs/P2_SOURCE_RUN_ACCEPTANCE_VI.md</x:v>
      </x:c>
    </x:row>
    <x:row r="17" ht="68" customHeight="1">
      <x:c r="A17" s="10" t="str">
        <x:v>P2.02</x:v>
      </x:c>
      <x:c r="B17" s="10" t="str">
        <x:v>P2</x:v>
      </x:c>
      <x:c r="C17" s="10" t="str">
        <x:v>Panel quality</x:v>
      </x:c>
      <x:c r="D17" s="12" t="n">
        <x:v>1</x:v>
      </x:c>
      <x:c r="E17" s="10" t="str">
        <x:v>Unknown/gap không trở thành current; không nối qua khoảng thiếu dữ liệu.</x:v>
      </x:c>
      <x:c r="F17" s="10" t="str">
        <x:v>Thêm cross-vintage quality checks và source reconciliation mới.</x:v>
      </x:c>
      <x:c r="G17" s="10" t="str">
        <x:v>https://github.com/susayold/credit-atlas/blob/b997c20/docs/P2_PANEL_QUALITY_ACCEPTANCE_VI.md</x:v>
      </x:c>
    </x:row>
    <x:row r="18" ht="68" customHeight="1">
      <x:c r="A18" s="9" t="str">
        <x:v>P2.03</x:v>
      </x:c>
      <x:c r="B18" s="9" t="str">
        <x:v>P2</x:v>
      </x:c>
      <x:c r="C18" s="9" t="str">
        <x:v>Portfolio &amp; cohorts</x:v>
      </x:c>
      <x:c r="D18" s="11" t="n">
        <x:v>1</x:v>
      </x:c>
      <x:c r="E18" s="9" t="str">
        <x:v>Zero UPB giữ riêng; count và balance có denominator khác; không cộng duplicate loan-months thành unique loans.</x:v>
      </x:c>
      <x:c r="F18" s="9" t="str">
        <x:v>Bổ sung nhiều origination vintages và standardize composition comparisons.</x:v>
      </x:c>
      <x:c r="G18" s="9" t="str">
        <x:v>https://github.com/susayold/credit-atlas/blob/b997c20/docs/P2_PORTFOLIO_ACCEPTANCE_VI.md</x:v>
      </x:c>
    </x:row>
    <x:row r="19" ht="68" customHeight="1">
      <x:c r="A19" s="10" t="str">
        <x:v>P2.04</x:v>
      </x:c>
      <x:c r="B19" s="10" t="str">
        <x:v>P2</x:v>
      </x:c>
      <x:c r="C19" s="10" t="str">
        <x:v>Private loan lifecycle</x:v>
      </x:c>
      <x:c r="D19" s="12" t="n">
        <x:v>1</x:v>
      </x:c>
      <x:c r="E19" s="10" t="str">
        <x:v>Không lộ raw loan ID; không coi observed timeline là forecast; không backdate confirmation.</x:v>
      </x:c>
      <x:c r="F19" s="10" t="str">
        <x:v>Thêm search/paging lớn hơn và review gắn loan khi contract được chốt.</x:v>
      </x:c>
      <x:c r="G19" s="10" t="str">
        <x:v>https://github.com/susayold/credit-atlas/blob/b997c20/docs/P2_LIFECYCLE_ACCEPTANCE_VI.md</x:v>
      </x:c>
    </x:row>
    <x:row r="20" ht="68" customHeight="1">
      <x:c r="A20" s="9" t="str">
        <x:v>P2.05</x:v>
      </x:c>
      <x:c r="B20" s="9" t="str">
        <x:v>P2</x:v>
      </x:c>
      <x:c r="C20" s="9" t="str">
        <x:v>Transition matrix</x:v>
      </x:c>
      <x:c r="D20" s="11" t="n">
        <x:v>1</x:v>
      </x:c>
      <x:c r="E20" s="9" t="str">
        <x:v>Không nối gaps/terminal pairs sai; năm không có pairs giữ unavailable; lifetime comparator ghi rõ scope.</x:v>
      </x:c>
      <x:c r="F20" s="9" t="str">
        <x:v>Thêm temporal comparison và confidence intervals khi có đủ vintages.</x:v>
      </x:c>
      <x:c r="G20" s="9" t="str">
        <x:v>https://github.com/susayold/credit-atlas/blob/b997c20/docs/P2_TRANSITION_ACCEPTANCE_VI.md</x:v>
      </x:c>
    </x:row>
    <x:row r="21" ht="68" customHeight="1">
      <x:c r="A21" s="10" t="str">
        <x:v>P2.06</x:v>
      </x:c>
      <x:c r="B21" s="10" t="str">
        <x:v>P2</x:v>
      </x:c>
      <x:c r="C21" s="10" t="str">
        <x:v>Cure &amp; redefault</x:v>
      </x:c>
      <x:c r="D21" s="12" t="n">
        <x:v>1</x:v>
      </x:c>
      <x:c r="E21" s="10" t="str">
        <x:v>Gap/unknown phá linkage; terminal CURRENT không thành cure; follow-up thiếu không thành no-event.</x:v>
      </x:c>
      <x:c r="F21" s="10" t="str">
        <x:v>Đánh giá time-to-cure/redefault trên nhiều cohorts với censoring protocol.</x:v>
      </x:c>
      <x:c r="G21" s="10" t="str">
        <x:v>https://github.com/susayold/credit-atlas/blob/b997c20/docs/P2_CURE_ACCEPTANCE_VI.md</x:v>
      </x:c>
    </x:row>
    <x:row r="22" ht="68" customHeight="1">
      <x:c r="A22" s="9" t="str">
        <x:v>P2.07</x:v>
      </x:c>
      <x:c r="B22" s="9" t="str">
        <x:v>P2</x:v>
      </x:c>
      <x:c r="C22" s="9" t="str">
        <x:v>Competing outcomes</x:v>
      </x:c>
      <x:c r="D22" s="11" t="n">
        <x:v>1</x:v>
      </x:c>
      <x:c r="E22" s="9" t="str">
        <x:v>Không gọi horizon connector là monthly prediction; censored/unknown không thành negative.</x:v>
      </x:c>
      <x:c r="F22" s="9" t="str">
        <x:v>Thêm survival/competing-risk model khi temporal cohorts đạt gate.</x:v>
      </x:c>
      <x:c r="G22" s="9" t="str">
        <x:v>https://github.com/susayold/credit-atlas/blob/b997c20/docs/P2_COMPETING_ACCEPTANCE_VI.md</x:v>
      </x:c>
    </x:row>
    <x:row r="23" ht="68" customHeight="1">
      <x:c r="A23" s="10" t="str">
        <x:v>P2.08</x:v>
      </x:c>
      <x:c r="B23" s="10" t="str">
        <x:v>P2</x:v>
      </x:c>
      <x:c r="C23" s="10" t="str">
        <x:v>Horizon risk models</x:v>
      </x:c>
      <x:c r="D23" s="12" t="n">
        <x:v>0</x:v>
      </x:c>
      <x:c r="E23" s="10" t="str">
        <x:v>Một vintage2012 chưa đủ temporal evaluation; readiness screen không là qualified score.</x:v>
      </x:c>
      <x:c r="F23" s="10" t="str">
        <x:v>Tải thêm authorized vintages và chốt R2–R3 trong PLAN_MODULE_01.</x:v>
      </x:c>
      <x:c r="G23" s="10" t="str">
        <x:v>https://github.com/susayold/credit-atlas/blob/b997c20/docs/COMPLETION_REQUIREMENTS_50.json</x:v>
      </x:c>
    </x:row>
    <x:row r="24" ht="68" customHeight="1">
      <x:c r="A24" s="9" t="str">
        <x:v>P2.09</x:v>
      </x:c>
      <x:c r="B24" s="9" t="str">
        <x:v>P2</x:v>
      </x:c>
      <x:c r="C24" s="9" t="str">
        <x:v>Observed loss bridge</x:v>
      </x:c>
      <x:c r="D24" s="11" t="n">
        <x:v>1</x:v>
      </x:c>
      <x:c r="E24" s="9" t="str">
        <x:v>Không fill missing bằng zero; sample không representative LGD calibration; UPB không tự là economic loss.</x:v>
      </x:c>
      <x:c r="F24" s="9" t="str">
        <x:v>Thêm recovery timing/contract data và mature loss cohorts.</x:v>
      </x:c>
      <x:c r="G24" s="9" t="str">
        <x:v>https://github.com/susayold/credit-atlas/blob/b997c20/docs/P2_OBSERVED_LOSS_ACCEPTANCE_VI.md</x:v>
      </x:c>
    </x:row>
    <x:row r="25" ht="68" customHeight="1">
      <x:c r="A25" s="10" t="str">
        <x:v>P2.10</x:v>
      </x:c>
      <x:c r="B25" s="10" t="str">
        <x:v>P2</x:v>
      </x:c>
      <x:c r="C25" s="10" t="str">
        <x:v>Evidence &amp; review</x:v>
      </x:c>
      <x:c r="D25" s="12" t="n">
        <x:v>1</x:v>
      </x:c>
      <x:c r="E25" s="10" t="str">
        <x:v>Không sửa source bằng memo; reviewed không là authenticated bank approval.</x:v>
      </x:c>
      <x:c r="F25" s="10" t="str">
        <x:v>Thêm identity/roles và formal review policy khi triển khai nhóm.</x:v>
      </x:c>
      <x:c r="G25" s="10" t="str">
        <x:v>https://github.com/susayold/credit-atlas/blob/b997c20/docs/P2_FINDING_REVIEW_ACCEPTANCE_VI.md</x:v>
      </x:c>
    </x:row>
    <x:row r="26" ht="68" customHeight="1">
      <x:c r="A26" s="9" t="str">
        <x:v>P3.01</x:v>
      </x:c>
      <x:c r="B26" s="9" t="str">
        <x:v>P3</x:v>
      </x:c>
      <x:c r="C26" s="9" t="str">
        <x:v>SME source explorer</x:v>
      </x:c>
      <x:c r="D26" s="11" t="n">
        <x:v>1</x:v>
      </x:c>
      <x:c r="E26" s="9" t="str">
        <x:v>Không cộng files thành unique borrowers nếu chưa có identity; giữ EXEMPT/unknown/cancelled.</x:v>
      </x:c>
      <x:c r="F26" s="9" t="str">
        <x:v>Thêm historical snapshots và documented loan key qualification.</x:v>
      </x:c>
      <x:c r="G26" s="9" t="str">
        <x:v>https://github.com/susayold/credit-atlas/blob/b997c20/docs/P3_SBA_DESCRIPTIVE_ACCEPTANCE_VI.md</x:v>
      </x:c>
    </x:row>
    <x:row r="27" ht="68" customHeight="1">
      <x:c r="A27" s="10" t="str">
        <x:v>P3.02</x:v>
      </x:c>
      <x:c r="B27" s="10" t="str">
        <x:v>P3</x:v>
      </x:c>
      <x:c r="C27" s="10" t="str">
        <x:v>Financial normalization</x:v>
      </x:c>
      <x:c r="D27" s="12" t="n">
        <x:v>1</x:v>
      </x:c>
      <x:c r="E27" s="10" t="str">
        <x:v>Không ghép quarterly/YTD thành annual theo fiscal-year label; conflicts không chọn alias đẹp hơn.</x:v>
      </x:c>
      <x:c r="F27" s="10" t="str">
        <x:v>Mở rộng issuer/taxonomy mapping và kiểm tra historical availability.</x:v>
      </x:c>
      <x:c r="G27" s="10" t="str">
        <x:v>https://github.com/susayold/credit-atlas/blob/b997c20/docs/P3_SEC_NORMALIZATION_ACCEPTANCE_VI.md</x:v>
      </x:c>
    </x:row>
    <x:row r="28" ht="68" customHeight="1">
      <x:c r="A28" s="9" t="str">
        <x:v>P3.03</x:v>
      </x:c>
      <x:c r="B28" s="9" t="str">
        <x:v>P3</x:v>
      </x:c>
      <x:c r="C28" s="9" t="str">
        <x:v>Financial ratio analysis</x:v>
      </x:c>
      <x:c r="D28" s="11" t="n">
        <x:v>1</x:v>
      </x:c>
      <x:c r="E28" s="9" t="str">
        <x:v>Amendments giữ riêng; không skip gaps/concept changes; không đổi cash interest thành expense; operating-income/OCF proxies chưa là EBIT ICR, DSCR hoặc covenant.</x:v>
      </x:c>
      <x:c r="F28" s="9" t="str">
        <x:v>Thêm borrower debt-service/covenant inputs và peer/sector comparisons có consistent accounting scope.</x:v>
      </x:c>
      <x:c r="G28" s="9" t="str">
        <x:v>https://github.com/susayold/credit-atlas/blob/b997c20/docs/P3_RATIO_ANALYSIS_ACCEPTANCE_VI.md</x:v>
      </x:c>
    </x:row>
    <x:row r="29" ht="68" customHeight="1">
      <x:c r="A29" s="10" t="str">
        <x:v>P3.04</x:v>
      </x:c>
      <x:c r="B29" s="10" t="str">
        <x:v>P3</x:v>
      </x:c>
      <x:c r="C29" s="10" t="str">
        <x:v>Bankruptcy benchmark</x:v>
      </x:c>
      <x:c r="D29" s="12" t="n">
        <x:v>1</x:v>
      </x:c>
      <x:c r="E29" s="10" t="str">
        <x:v>Không pool five horizons thành một PD; thiếu firm IDs/publication dates nên chưa entity-disjoint/OOT.</x:v>
      </x:c>
      <x:c r="F29" s="10" t="str">
        <x:v>Thu thập identified dated statements cho deployed corporate-risk study.</x:v>
      </x:c>
      <x:c r="G29" s="10" t="str">
        <x:v>https://github.com/susayold/credit-atlas/blob/b997c20/docs/P3_BANKRUPTCY_BENCHMARK_ACCEPTANCE_VI.md</x:v>
      </x:c>
    </x:row>
    <x:row r="30" ht="68" customHeight="1">
      <x:c r="A30" s="9" t="str">
        <x:v>P3.05</x:v>
      </x:c>
      <x:c r="B30" s="9" t="str">
        <x:v>P3</x:v>
      </x:c>
      <x:c r="C30" s="9" t="str">
        <x:v>SBA outcomes &amp; cohorts</x:v>
      </x:c>
      <x:c r="D30" s="11" t="n">
        <x:v>1</x:v>
      </x:c>
      <x:c r="E30" s="9" t="str">
        <x:v>Terminal snapshot không là fixed-horizon PD; post-outcome fields không làm approval predictors.</x:v>
      </x:c>
      <x:c r="F30" s="9" t="str">
        <x:v>Thêm longitudinal status dates/coverage trước survival or default modeling.</x:v>
      </x:c>
      <x:c r="G30" s="9" t="str">
        <x:v>https://github.com/susayold/credit-atlas/blob/b997c20/docs/P3_SBA_DESCRIPTIVE_ACCEPTANCE_VI.md</x:v>
      </x:c>
    </x:row>
    <x:row r="31" ht="68" customHeight="1">
      <x:c r="A31" s="10" t="str">
        <x:v>P3.06</x:v>
      </x:c>
      <x:c r="B31" s="10" t="str">
        <x:v>P3</x:v>
      </x:c>
      <x:c r="C31" s="10" t="str">
        <x:v>Corporate credit memo</x:v>
      </x:c>
      <x:c r="D31" s="12" t="n">
        <x:v>1</x:v>
      </x:c>
      <x:c r="E31" s="10" t="str">
        <x:v>Reviewed là self-declared analyst status; không issuer PD hoặc credit approval; thiếu source mới không ghi đè capture cũ.</x:v>
      </x:c>
      <x:c r="F31" s="10" t="str">
        <x:v>Thêm issuer-event sources và borrower debt/covenant inputs cho complete credit memo.</x:v>
      </x:c>
      <x:c r="G31" s="10" t="str">
        <x:v>https://github.com/susayold/credit-atlas/blob/b997c20/docs/P3_CORPORATE_MEMO_ACCEPTANCE_VI.md</x:v>
      </x:c>
    </x:row>
    <x:row r="32" ht="68" customHeight="1">
      <x:c r="A32" s="9" t="str">
        <x:v>P3.07</x:v>
      </x:c>
      <x:c r="B32" s="9" t="str">
        <x:v>P3</x:v>
      </x:c>
      <x:c r="C32" s="9" t="str">
        <x:v>Covenant workbench</x:v>
      </x:c>
      <x:c r="D32" s="11" t="n">
        <x:v>0</x:v>
      </x:c>
      <x:c r="E32" s="9" t="str">
        <x:v>Thiếu terms thì không gắn actual breach badge; SEC generic ratios không thay contract definitions.</x:v>
      </x:c>
      <x:c r="F32" s="9" t="str">
        <x:v>Tạo covenant-term intake và source-backed adjustment ledger.</x:v>
      </x:c>
      <x:c r="G32" s="9" t="str">
        <x:v>https://github.com/susayold/credit-atlas/blob/b997c20/docs/COMPLETION_REQUIREMENTS_50.json</x:v>
      </x:c>
    </x:row>
    <x:row r="33" ht="68" customHeight="1">
      <x:c r="A33" s="10" t="str">
        <x:v>P3.08</x:v>
      </x:c>
      <x:c r="B33" s="10" t="str">
        <x:v>P3</x:v>
      </x:c>
      <x:c r="C33" s="10" t="str">
        <x:v>Debt &amp; cash-flow schedule</x:v>
      </x:c>
      <x:c r="D33" s="12" t="n">
        <x:v>0</x:v>
      </x:c>
      <x:c r="E33" s="10" t="str">
        <x:v>Principal buckets không là exact payment dates, carrying debt, EAD hoặc DSCR; after-year-five open ended; debt/lease families không cộng overlap.</x:v>
      </x:c>
      <x:c r="F33" s="10" t="str">
        <x:v>Thu thập instrument/facility terms, actual payment dates và interest/cash-flow inputs; qualify full debt-service schedule và covenant definitions khi inputs available.</x:v>
      </x:c>
      <x:c r="G33" s="10" t="str">
        <x:v>https://github.com/susayold/credit-atlas/blob/b997c20/docs/COMPLETION_REQUIREMENTS_50.json</x:v>
      </x:c>
    </x:row>
    <x:row r="34" ht="68" customHeight="1">
      <x:c r="A34" s="9" t="str">
        <x:v>P3.09</x:v>
      </x:c>
      <x:c r="B34" s="9" t="str">
        <x:v>P3</x:v>
      </x:c>
      <x:c r="C34" s="9" t="str">
        <x:v>Sector &amp; concentration</x:v>
      </x:c>
      <x:c r="D34" s="11" t="n">
        <x:v>1</x:v>
      </x:c>
      <x:c r="E34" s="9" t="str">
        <x:v>Booked SBA program không đại diện toàn bộ SME economy; approval amount không tự là EAD.</x:v>
      </x:c>
      <x:c r="F34" s="9" t="str">
        <x:v>Thêm comparable time snapshots và concentration uncertainty/support.</x:v>
      </x:c>
      <x:c r="G34" s="9" t="str">
        <x:v>https://github.com/susayold/credit-atlas/blob/b997c20/docs/P3_SBA_DESCRIPTIVE_ACCEPTANCE_VI.md</x:v>
      </x:c>
    </x:row>
    <x:row r="35" ht="68" customHeight="1">
      <x:c r="A35" s="10" t="str">
        <x:v>P3.10</x:v>
      </x:c>
      <x:c r="B35" s="10" t="str">
        <x:v>P3</x:v>
      </x:c>
      <x:c r="C35" s="10" t="str">
        <x:v>Business review/export</x:v>
      </x:c>
      <x:c r="D35" s="12" t="n">
        <x:v>1</x:v>
      </x:c>
      <x:c r="E35" s="10" t="str">
        <x:v>Không fuzzy-match SBA name với SEC để tạo labels; không trộn reporting grains; owner chưa authenticated.</x:v>
      </x:c>
      <x:c r="F35" s="10" t="str">
        <x:v>Thêm reviewer workflow/issuer events và scoped business handoff khi có inputs.</x:v>
      </x:c>
      <x:c r="G35" s="10" t="str">
        <x:v>https://github.com/susayold/credit-atlas/blob/b997c20/docs/P3_BUSINESS_REVIEW_EXPORT_ACCEPTANCE_VI.md</x:v>
      </x:c>
    </x:row>
    <x:row r="36" ht="68" customHeight="1">
      <x:c r="A36" s="9" t="str">
        <x:v>P4.01</x:v>
      </x:c>
      <x:c r="B36" s="9" t="str">
        <x:v>P4</x:v>
      </x:c>
      <x:c r="C36" s="9" t="str">
        <x:v>Typed exposure &amp; Excel intake</x:v>
      </x:c>
      <x:c r="D36" s="11" t="n">
        <x:v>1</x:v>
      </x:c>
      <x:c r="E36" s="9" t="str">
        <x:v>File≤20MB/50000positions; formula inputs/unsafe numeric precision bị reject; missing risk không thành zero.</x:v>
      </x:c>
      <x:c r="F36" s="9" t="str">
        <x:v>Thêm column mapping theo source/facility và domain-specific Excel templates.</x:v>
      </x:c>
      <x:c r="G36" s="9" t="str">
        <x:v>https://github.com/susayold/credit-atlas/blob/b997c20/docs/P4_INTAKE_CONCENTRATION_ACCEPTANCE_VI.md</x:v>
      </x:c>
    </x:row>
    <x:row r="37" ht="68" customHeight="1">
      <x:c r="A37" s="10" t="str">
        <x:v>P4.02</x:v>
      </x:c>
      <x:c r="B37" s="10" t="str">
        <x:v>P4</x:v>
      </x:c>
      <x:c r="C37" s="10" t="str">
        <x:v>Reconcile &amp; concentration</x:v>
      </x:c>
      <x:c r="D37" s="12" t="n">
        <x:v>1</x:v>
      </x:c>
      <x:c r="E37" s="10" t="str">
        <x:v>Không cộng cross-currency; source observations không tự là borrower concentration; reported amount khác EAD.</x:v>
      </x:c>
      <x:c r="F37" s="10" t="str">
        <x:v>Thêm obligor/group identity và explicit FX policy nếu cần global totals.</x:v>
      </x:c>
      <x:c r="G37" s="10" t="str">
        <x:v>https://github.com/susayold/credit-atlas/blob/b997c20/docs/P4_INTAKE_CONCENTRATION_ACCEPTANCE_VI.md</x:v>
      </x:c>
    </x:row>
    <x:row r="38" ht="68" customHeight="1">
      <x:c r="A38" s="9" t="str">
        <x:v>P4.03</x:v>
      </x:c>
      <x:c r="B38" s="9" t="str">
        <x:v>P4</x:v>
      </x:c>
      <x:c r="C38" s="9" t="str">
        <x:v>Research expected loss</x:v>
      </x:c>
      <x:c r="D38" s="11" t="n">
        <x:v>0</x:v>
      </x:c>
      <x:c r="E38" s="9" t="str">
        <x:v>Không mượn PD khác target; actual source import vẫn EL unavailable nếu không có risk inputs.</x:v>
      </x:c>
      <x:c r="F38" s="9" t="str">
        <x:v>Thêm calibrated probability/recovery evidence và documented economic exposure.</x:v>
      </x:c>
      <x:c r="G38" s="9" t="str">
        <x:v>https://github.com/susayold/credit-atlas/blob/b997c20/docs/COMPLETION_REQUIREMENTS_50.json</x:v>
      </x:c>
    </x:row>
    <x:row r="39" ht="68" customHeight="1">
      <x:c r="A39" s="10" t="str">
        <x:v>P4.04</x:v>
      </x:c>
      <x:c r="B39" s="10" t="str">
        <x:v>P4</x:v>
      </x:c>
      <x:c r="C39" s="10" t="str">
        <x:v>ECL &amp; staging</x:v>
      </x:c>
      <x:c r="D39" s="12" t="n">
        <x:v>0</x:v>
      </x:c>
      <x:c r="E39" s="10" t="str">
        <x:v>Bullet/EIR/recovery terms hiện minh họa; stage3/POCI/revolving policies không mặc định supported; chưa accounting compliance.</x:v>
      </x:c>
      <x:c r="F39" s="10" t="str">
        <x:v>Thu thập actual contract/EIR/risk evidence; review staging và recovery policy.</x:v>
      </x:c>
      <x:c r="G39" s="10" t="str">
        <x:v>https://github.com/susayold/credit-atlas/blob/b997c20/docs/COMPLETION_REQUIREMENTS_50.json</x:v>
      </x:c>
    </x:row>
    <x:row r="40" ht="68" customHeight="1">
      <x:c r="A40" s="9" t="str">
        <x:v>P4.05</x:v>
      </x:c>
      <x:c r="B40" s="9" t="str">
        <x:v>P4</x:v>
      </x:c>
      <x:c r="C40" s="9" t="str">
        <x:v>Scenario &amp; stress</x:v>
      </x:c>
      <x:c r="D40" s="11" t="n">
        <x:v>0</x:v>
      </x:c>
      <x:c r="E40" s="9" t="str">
        <x:v>Không gọi macro-calibrated stress khi chỉ có assumptions; excluded positions không bị gán zero loss.</x:v>
      </x:c>
      <x:c r="F40" s="9" t="str">
        <x:v>Estimate response functions từ suitable time data và validation protocol.</x:v>
      </x:c>
      <x:c r="G40" s="9" t="str">
        <x:v>https://github.com/susayold/credit-atlas/blob/b997c20/docs/COMPLETION_REQUIREMENTS_50.json</x:v>
      </x:c>
    </x:row>
    <x:row r="41" ht="68" customHeight="1">
      <x:c r="A41" s="10" t="str">
        <x:v>P4.06</x:v>
      </x:c>
      <x:c r="B41" s="10" t="str">
        <x:v>P4</x:v>
      </x:c>
      <x:c r="C41" s="10" t="str">
        <x:v>Movement bridge</x:v>
      </x:c>
      <x:c r="D41" s="12" t="n">
        <x:v>1</x:v>
      </x:c>
      <x:c r="E41" s="10" t="str">
        <x:v>Missing record không là default/payoff; currency migration không là FX P&amp;L; residual phải giữ rõ.</x:v>
      </x:c>
      <x:c r="F41" s="10" t="str">
        <x:v>Thêm disposition reasons và better source linkage khi có evidence.</x:v>
      </x:c>
      <x:c r="G41" s="10" t="str">
        <x:v>https://github.com/susayold/credit-atlas/blob/b997c20/docs/P4_MOVEMENT_BRIDGE_ACCEPTANCE_VI.md</x:v>
      </x:c>
    </x:row>
    <x:row r="42" ht="68" customHeight="1">
      <x:c r="A42" s="9" t="str">
        <x:v>P4.07</x:v>
      </x:c>
      <x:c r="B42" s="9" t="str">
        <x:v>P4</x:v>
      </x:c>
      <x:c r="C42" s="9" t="str">
        <x:v>Tail risk &amp; concentration</x:v>
      </x:c>
      <x:c r="D42" s="11" t="n">
        <x:v>0</x:v>
      </x:c>
      <x:c r="E42" s="9" t="str">
        <x:v>Correlation/recovery chưa calibrated; thiếu obligor linkage; finite tails/CI unavailable giữ đúng; chưa capital approval.</x:v>
      </x:c>
      <x:c r="F42" s="9" t="str">
        <x:v>Thêm calibrated dependence, group linkage và production convergence thresholds.</x:v>
      </x:c>
      <x:c r="G42" s="9" t="str">
        <x:v>https://github.com/susayold/credit-atlas/blob/b997c20/docs/COMPLETION_REQUIREMENTS_50.json</x:v>
      </x:c>
    </x:row>
    <x:row r="43" ht="68" customHeight="1">
      <x:c r="A43" s="10" t="str">
        <x:v>P4.08</x:v>
      </x:c>
      <x:c r="B43" s="10" t="str">
        <x:v>P4</x:v>
      </x:c>
      <x:c r="C43" s="10" t="str">
        <x:v>Bank observatory</x:v>
      </x:c>
      <x:c r="D43" s="12" t="n">
        <x:v>0</x:v>
      </x:c>
      <x:c r="E43" s="10" t="str">
        <x:v>USD thousand giữ đúng; institution event không là borrower default; reporting date không tự là availability date.</x:v>
      </x:c>
      <x:c r="F43" s="10" t="str">
        <x:v>Thêm publication lags và stress linkage theo bank contracts.</x:v>
      </x:c>
      <x:c r="G43" s="10" t="str">
        <x:v>https://github.com/susayold/credit-atlas/blob/b997c20/docs/COMPLETION_REQUIREMENTS_50.json</x:v>
      </x:c>
    </x:row>
    <x:row r="44" ht="68" customHeight="1">
      <x:c r="A44" s="9" t="str">
        <x:v>P4.09</x:v>
      </x:c>
      <x:c r="B44" s="9" t="str">
        <x:v>P4</x:v>
      </x:c>
      <x:c r="C44" s="9" t="str">
        <x:v>Country observatory</x:v>
      </x:c>
      <x:c r="D44" s="11" t="n">
        <x:v>0</x:v>
      </x:c>
      <x:c r="E44" s="9" t="str">
        <x:v>Không thay missing bằng latest; ratio không cộng thành tổng; current region/income labels không historical classification.</x:v>
      </x:c>
      <x:c r="F44" s="9" t="str">
        <x:v>Thêm debt/default/availability sources và documented macro stress linkage.</x:v>
      </x:c>
      <x:c r="G44" s="9" t="str">
        <x:v>https://github.com/susayold/credit-atlas/blob/b997c20/docs/COMPLETION_REQUIREMENTS_50.json</x:v>
      </x:c>
    </x:row>
    <x:row r="45" ht="68" customHeight="1">
      <x:c r="A45" s="10" t="str">
        <x:v>P4.10</x:v>
      </x:c>
      <x:c r="B45" s="10" t="str">
        <x:v>P4</x:v>
      </x:c>
      <x:c r="C45" s="10" t="str">
        <x:v>Finance review package</x:v>
      </x:c>
      <x:c r="D45" s="12" t="n">
        <x:v>0</x:v>
      </x:c>
      <x:c r="E45" s="10" t="str">
        <x:v>Reviewed không là human-authenticated sign-off; Excel notes không ghi ngược app; source values không bị sửa bởi memo.</x:v>
      </x:c>
      <x:c r="F45" s="10" t="str">
        <x:v>Thêm authenticated reviewer roles và formal review policy.</x:v>
      </x:c>
      <x:c r="G45" s="10" t="str">
        <x:v>https://github.com/susayold/credit-atlas/blob/b997c20/docs/COMPLETION_REQUIREMENTS_50.json</x:v>
      </x:c>
    </x:row>
    <x:row r="46" ht="68" customHeight="1">
      <x:c r="A46" s="9" t="str">
        <x:v>P5.01</x:v>
      </x:c>
      <x:c r="B46" s="9" t="str">
        <x:v>P5</x:v>
      </x:c>
      <x:c r="C46" s="9" t="str">
        <x:v>Deal &amp; terms catalog</x:v>
      </x:c>
      <x:c r="D46" s="11" t="n">
        <x:v>0</x:v>
      </x:c>
      <x:c r="E46" s="9" t="str">
        <x:v>Chưa xác minh đầy đủ agreements/amendments/legal state; terms không mặc định full contractual waterfall.</x:v>
      </x:c>
      <x:c r="F46" s="9" t="str">
        <x:v>Thu thập complete agreements, amendments và term extraction review.</x:v>
      </x:c>
      <x:c r="G46" s="9" t="str">
        <x:v>https://github.com/susayold/credit-atlas/blob/b997c20/docs/COMPLETION_REQUIREMENTS_50.json</x:v>
      </x:c>
    </x:row>
    <x:row r="47" ht="68" customHeight="1">
      <x:c r="A47" s="10" t="str">
        <x:v>P5.02</x:v>
      </x:c>
      <x:c r="B47" s="10" t="str">
        <x:v>P5</x:v>
      </x:c>
      <x:c r="C47" s="10" t="str">
        <x:v>Collateral pool</x:v>
      </x:c>
      <x:c r="D47" s="12" t="n">
        <x:v>0</x:v>
      </x:c>
      <x:c r="E47" s="10" t="str">
        <x:v>Aggregate pool reports không là asset-level persistent panel; Ginnie/ABS-EE loan-level tracks còn thiếu.</x:v>
      </x:c>
      <x:c r="F47" s="10" t="str">
        <x:v>Thêm deal-specific asset IDs/schema và collateral-history adapter.</x:v>
      </x:c>
      <x:c r="G47" s="10" t="str">
        <x:v>https://github.com/susayold/credit-atlas/blob/b997c20/docs/COMPLETION_REQUIREMENTS_50.json</x:v>
      </x:c>
    </x:row>
    <x:row r="48" ht="68" customHeight="1">
      <x:c r="A48" s="9" t="str">
        <x:v>P5.03</x:v>
      </x:c>
      <x:c r="B48" s="9" t="str">
        <x:v>P5</x:v>
      </x:c>
      <x:c r="C48" s="9" t="str">
        <x:v>Cash-flow projection</x:v>
      </x:c>
      <x:c r="D48" s="11" t="n">
        <x:v>0</x:v>
      </x:c>
      <x:c r="E48" s="9" t="str">
        <x:v>Reported history không được gọi là projection; chưa có complete collateral contracts.</x:v>
      </x:c>
      <x:c r="F48" s="9" t="str">
        <x:v>Thiết kế collateral schedule intake và calibrate suitable behavior models.</x:v>
      </x:c>
      <x:c r="G48" s="9" t="str">
        <x:v>https://github.com/susayold/credit-atlas/blob/b997c20/docs/COMPLETION_REQUIREMENTS_50.json</x:v>
      </x:c>
    </x:row>
    <x:row r="49" ht="68" customHeight="1">
      <x:c r="A49" s="10" t="str">
        <x:v>P5.04</x:v>
      </x:c>
      <x:c r="B49" s="10" t="str">
        <x:v>P5</x:v>
      </x:c>
      <x:c r="C49" s="10" t="str">
        <x:v>Sequential waterfall</x:v>
      </x:c>
      <x:c r="D49" s="12" t="n">
        <x:v>0</x:v>
      </x:c>
      <x:c r="E49" s="10" t="str">
        <x:v>Cash/balance conservation; reviewer prior obligations có giả định; không gọi unconditional legal compliance.</x:v>
      </x:c>
      <x:c r="F49" s="10" t="str">
        <x:v>Verify full legal regimes, prior obligations và amendments trước full contractual engine.</x:v>
      </x:c>
      <x:c r="G49" s="10" t="str">
        <x:v>https://github.com/susayold/credit-atlas/blob/b997c20/docs/COMPLETION_REQUIREMENTS_50.json</x:v>
      </x:c>
    </x:row>
    <x:row r="50" ht="68" customHeight="1">
      <x:c r="A50" s="9" t="str">
        <x:v>P5.05</x:v>
      </x:c>
      <x:c r="B50" s="9" t="str">
        <x:v>P5</x:v>
      </x:c>
      <x:c r="C50" s="9" t="str">
        <x:v>Tranche &amp; triggers</x:v>
      </x:c>
      <x:c r="D50" s="11" t="n">
        <x:v>0</x:v>
      </x:c>
      <x:c r="E50" s="9" t="str">
        <x:v>Stage shortfalls không cộng thành credit loss; không prorate pool loss thành tranche loss; unsupported triggers giữ gap.</x:v>
      </x:c>
      <x:c r="F50" s="9" t="str">
        <x:v>Bổ sung verified trigger state/history và loss-allocation/legal regimes.</x:v>
      </x:c>
      <x:c r="G50" s="9" t="str">
        <x:v>https://github.com/susayold/credit-atlas/blob/b997c20/docs/COMPLETION_REQUIREMENTS_50.json</x:v>
      </x:c>
    </x:row>
    <x:row r="51" ht="68" customHeight="1">
      <x:c r="A51" s="10" t="str">
        <x:v>P5.06</x:v>
      </x:c>
      <x:c r="B51" s="10" t="str">
        <x:v>P5</x:v>
      </x:c>
      <x:c r="C51" s="10" t="str">
        <x:v>Scenario valuation</x:v>
      </x:c>
      <x:c r="D51" s="12" t="n">
        <x:v>0</x:v>
      </x:c>
      <x:c r="E51" s="10" t="str">
        <x:v>Treasury/index OAS không là deal quote; không gọi market-calibrated ABS price.</x:v>
      </x:c>
      <x:c r="F51" s="10" t="str">
        <x:v>Thu thập instrument quotes và supported projected cashflows trước calibrated valuation.</x:v>
      </x:c>
      <x:c r="G51" s="10" t="str">
        <x:v>https://github.com/susayold/credit-atlas/blob/b997c20/docs/COMPLETION_REQUIREMENTS_50.json</x:v>
      </x:c>
    </x:row>
    <x:row r="52" ht="68" customHeight="1">
      <x:c r="A52" s="9" t="str">
        <x:v>P5.07</x:v>
      </x:c>
      <x:c r="B52" s="9" t="str">
        <x:v>P5</x:v>
      </x:c>
      <x:c r="C52" s="9" t="str">
        <x:v>Bond sensitivity</x:v>
      </x:c>
      <x:c r="D52" s="11" t="n">
        <x:v>0</x:v>
      </x:c>
      <x:c r="E52" s="9" t="str">
        <x:v>Scope coupon-date benchmark; chưa dirty/clean/accrued/spread curve của mọi actual security.</x:v>
      </x:c>
      <x:c r="F52" s="9" t="str">
        <x:v>Thêm trade/settlement dates, day-count/accrual và curve benchmark pricers.</x:v>
      </x:c>
      <x:c r="G52" s="9" t="str">
        <x:v>https://github.com/susayold/credit-atlas/blob/b997c20/docs/COMPLETION_REQUIREMENTS_50.json</x:v>
      </x:c>
    </x:row>
    <x:row r="53" ht="68" customHeight="1">
      <x:c r="A53" s="10" t="str">
        <x:v>P5.08</x:v>
      </x:c>
      <x:c r="B53" s="10" t="str">
        <x:v>P5</x:v>
      </x:c>
      <x:c r="C53" s="10" t="str">
        <x:v>CDS credit curve</x:v>
      </x:c>
      <x:c r="D53" s="12" t="n">
        <x:v>0</x:v>
      </x:c>
      <x:c r="E53" s="10" t="str">
        <x:v>Index OAS không thay CDS quotes; risk-neutral probability không thay borrower real-world PD.</x:v>
      </x:c>
      <x:c r="F53" s="10" t="str">
        <x:v>Lấy licensed term quotes và freeze pricing conventions/benchmark.</x:v>
      </x:c>
      <x:c r="G53" s="10" t="str">
        <x:v>https://github.com/susayold/credit-atlas/blob/b997c20/docs/COMPLETION_REQUIREMENTS_50.json</x:v>
      </x:c>
    </x:row>
    <x:row r="54" ht="68" customHeight="1">
      <x:c r="A54" s="9" t="str">
        <x:v>P5.09</x:v>
      </x:c>
      <x:c r="B54" s="9" t="str">
        <x:v>P5</x:v>
      </x:c>
      <x:c r="C54" s="9" t="str">
        <x:v>Position &amp; scenario comparison</x:v>
      </x:c>
      <x:c r="D54" s="11" t="n">
        <x:v>0</x:v>
      </x:c>
      <x:c r="E54" s="9" t="str">
        <x:v>Index không là executable price; actual exposure representations không double-count cùng underlying risk.</x:v>
      </x:c>
      <x:c r="F54" s="9" t="str">
        <x:v>Thêm typed security-position mapping và supported instrument cashflow engines.</x:v>
      </x:c>
      <x:c r="G54" s="9" t="str">
        <x:v>https://github.com/susayold/credit-atlas/blob/b997c20/docs/COMPLETION_REQUIREMENTS_50.json</x:v>
      </x:c>
    </x:row>
    <x:row r="55" ht="68" customHeight="1">
      <x:c r="A55" s="10" t="str">
        <x:v>P5.10</x:v>
      </x:c>
      <x:c r="B55" s="10" t="str">
        <x:v>P5</x:v>
      </x:c>
      <x:c r="C55" s="10" t="str">
        <x:v>Surveillance &amp; numerical evidence</x:v>
      </x:c>
      <x:c r="D55" s="12" t="n">
        <x:v>0</x:v>
      </x:c>
      <x:c r="E55" s="10" t="str">
        <x:v>Không bỏ dropped amendments/unsupported triggers; chưa live surveillance event feed.</x:v>
      </x:c>
      <x:c r="F55" s="10" t="str">
        <x:v>Thêm fresh servicing periods, legal change detection và review ownership.</x:v>
      </x:c>
      <x:c r="G55" s="10" t="str">
        <x:v>https://github.com/susayold/credit-atlas/blob/b997c20/docs/COMPLETION_REQUIREMENTS_50.json</x:v>
      </x:c>
    </x:row>
    <x:row r="56" ht="24" customHeight="1">
      <x:c r="A56" s="2"/>
      <x:c r="B56" s="2"/>
      <x:c r="C56" s="2"/>
      <x:c r="D56" s="2"/>
      <x:c r="E56" s="2"/>
      <x:c r="F56" s="2"/>
      <x:c r="G56" s="2"/>
    </x:row>
    <x:row r="57" ht="24" customHeight="1">
      <x:c r="A57" s="2"/>
      <x:c r="B57" s="2"/>
      <x:c r="C57" s="2"/>
      <x:c r="D57" s="2"/>
      <x:c r="E57" s="2"/>
      <x:c r="F57" s="2"/>
      <x:c r="G57" s="2"/>
    </x:row>
  </x:sheetData>
  <x:pageMargins left="0.7" right="0.7" top="0.75" bottom="0.75" header="0.3" footer="0.3"/>
  <x:tableParts count="1">
    <x:tablePart xmlns:r="http://schemas.openxmlformats.org/officeDocument/2006/relationships" r:id="R44d351d8708340f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7" hidden="0" customWidth="1"/>
    <x:col min="3" max="3" width="20" hidden="0" customWidth="1"/>
    <x:col min="4" max="4" width="34" hidden="0" customWidth="1"/>
    <x:col min="5" max="5" width="45" hidden="0" customWidth="1"/>
    <x:col min="6" max="6" width="64" hidden="0" customWidth="1"/>
    <x:col min="7" max="7" width="6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3" t="str">
        <x:v>Dữ liệu hiện có và mục đích dùng</x:v>
      </x:c>
      <x:c r="B2" s="2"/>
      <x:c r="C2" s="2"/>
      <x:c r="D2" s="2"/>
      <x:c r="E2" s="2"/>
      <x:c r="F2" s="2"/>
      <x:c r="G2" s="2"/>
    </x:row>
    <x:row r="3" ht="24" customHeight="1">
      <x:c r="A3" s="4" t="str">
        <x:v>Quy mô theo hồ sơ acquisition/audit đã lưu. Các nguồn khác grain và có thể chồng lấn, không cộng thành unique borrowers.</x:v>
      </x:c>
      <x:c r="B3" s="4"/>
      <x:c r="C3" s="4"/>
      <x:c r="D3" s="4"/>
      <x:c r="E3" s="4"/>
      <x:c r="F3" s="4"/>
      <x:c r="G3" s="4"/>
    </x:row>
    <x:row r="4" ht="24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Nguồn</x:v>
      </x:c>
      <x:c r="B5" s="8" t="str">
        <x:v>Số lượng</x:v>
      </x:c>
      <x:c r="C5" s="8" t="str">
        <x:v>Đơn vị đếm</x:v>
      </x:c>
      <x:c r="D5" s="8" t="str">
        <x:v>Phạm vi thời gian</x:v>
      </x:c>
      <x:c r="E5" s="8" t="str">
        <x:v>Phù hợp cho</x:v>
      </x:c>
      <x:c r="F5" s="8" t="str">
        <x:v>Giới hạn / việc tiếp</x:v>
      </x:c>
      <x:c r="G5" s="8" t="str">
        <x:v>Báo cáo nguồn</x:v>
      </x:c>
    </x:row>
    <x:row r="6" ht="50" customHeight="1">
      <x:c r="A6" s="9" t="str">
        <x:v>Freddie 2012</x:v>
      </x:c>
      <x:c r="B6" s="18" t="n">
        <x:v>50000</x:v>
      </x:c>
      <x:c r="C6" s="9" t="str">
        <x:v>loans</x:v>
      </x:c>
      <x:c r="D6" s="9" t="str">
        <x:v>2012 origination</x:v>
      </x:c>
      <x:c r="E6" s="9" t="str">
        <x:v>P2 D01 descriptive</x:v>
      </x:c>
      <x:c r="F6" s="9" t="str">
        <x:v>4.510.559 loan-months; thiếu multi-vintage và qualified model</x:v>
      </x:c>
      <x:c r="G6" s="9" t="str">
        <x:v>https://github.com/susayold/credit-atlas/blob/b997c20/docs/D01_PROGRESS_AND_DATA_PRIORITY_2026-10-16_VI.md</x:v>
      </x:c>
    </x:row>
    <x:row r="7" ht="50" customHeight="1">
      <x:c r="A7" s="10" t="str">
        <x:v>UCI350</x:v>
      </x:c>
      <x:c r="B7" s="19" t="n">
        <x:v>30000</x:v>
      </x:c>
      <x:c r="C7" s="10" t="str">
        <x:v>clients</x:v>
      </x:c>
      <x:c r="D7" s="10" t="str">
        <x:v>Taiwan 2005</x:v>
      </x:c>
      <x:c r="E7" s="10" t="str">
        <x:v>P1 behavioral benchmark</x:v>
      </x:c>
      <x:c r="F7" s="10" t="str">
        <x:v>Target tháng kế tiếp; random split, chưa OOT/Vietnam PD</x:v>
      </x:c>
      <x:c r="G7" s="10" t="str">
        <x:v>https://github.com/susayold/credit-atlas/blob/b997c20/docs/RETAIL_FROZEN_HOLDOUT_AND_MODEL_CARD.md</x:v>
      </x:c>
    </x:row>
    <x:row r="8" ht="50" customHeight="1">
      <x:c r="A8" s="9" t="str">
        <x:v>LendingClub accepted</x:v>
      </x:c>
      <x:c r="B8" s="18" t="n">
        <x:v>2260701</x:v>
      </x:c>
      <x:c r="C8" s="9" t="str">
        <x:v>rows</x:v>
      </x:c>
      <x:c r="D8" s="9" t="str">
        <x:v>Full source archive</x:v>
      </x:c>
      <x:c r="E8" s="9" t="str">
        <x:v>P1 booked-loan research</x:v>
      </x:c>
      <x:c r="F8" s="9" t="str">
        <x:v>Feature timing/label maturity chưa qualify cho application model</x:v>
      </x:c>
      <x:c r="G8" s="9" t="str">
        <x:v>https://github.com/susayold/credit-atlas/blob/b997c20/docs/LENDINGCLUB_FULL_SOURCE_VI.md</x:v>
      </x:c>
    </x:row>
    <x:row r="9" ht="50" customHeight="1">
      <x:c r="A9" s="10" t="str">
        <x:v>LendingClub rejected</x:v>
      </x:c>
      <x:c r="B9" s="19" t="n">
        <x:v>27648741</x:v>
      </x:c>
      <x:c r="C9" s="10" t="str">
        <x:v>rows</x:v>
      </x:c>
      <x:c r="D9" s="10" t="str">
        <x:v>Full source archive</x:v>
      </x:c>
      <x:c r="E9" s="10" t="str">
        <x:v>P1 application mix</x:v>
      </x:c>
      <x:c r="F9" s="10" t="str">
        <x:v>Không gộp với accepted để suy approval rate khi population chưa khớp</x:v>
      </x:c>
      <x:c r="G9" s="10" t="str">
        <x:v>https://github.com/susayold/credit-atlas/blob/b997c20/docs/LENDINGCLUB_FULL_SOURCE_VI.md</x:v>
      </x:c>
    </x:row>
    <x:row r="10" ht="50" customHeight="1">
      <x:c r="A10" s="9" t="str">
        <x:v>Bondora / Go &amp; Grow</x:v>
      </x:c>
      <x:c r="B10" s="18" t="n">
        <x:v>789144</x:v>
      </x:c>
      <x:c r="C10" s="9" t="str">
        <x:v>loans</x:v>
      </x:c>
      <x:c r="D10" s="9" t="str">
        <x:v>2009–2026 snapshot</x:v>
      </x:c>
      <x:c r="E10" s="9" t="str">
        <x:v>P1 temporal feasibility</x:v>
      </x:c>
      <x:c r="F10" s="9" t="str">
        <x:v>12M flags: 86.618 true / 520.246 false / 182.280 NULL</x:v>
      </x:c>
      <x:c r="G10" s="9" t="str">
        <x:v>https://github.com/susayold/credit-atlas/blob/b997c20/docs/BONDORA_PUBLIC_DATASET_RESEARCH_VI.md</x:v>
      </x:c>
    </x:row>
    <x:row r="11" ht="50" customHeight="1">
      <x:c r="A11" s="10" t="str">
        <x:v>NSMO v7.0</x:v>
      </x:c>
      <x:c r="B11" s="19" t="n">
        <x:v>62359</x:v>
      </x:c>
      <x:c r="C11" s="10" t="str">
        <x:v>loans</x:v>
      </x:c>
      <x:c r="D11" s="10" t="str">
        <x:v>2013–2024; Q3/2025 outcomes</x:v>
      </x:c>
      <x:c r="E11" s="10" t="str">
        <x:v>P2 D02 descriptive</x:v>
      </x:c>
      <x:c r="F11" s="10" t="str">
        <x:v>587 fields; weighting/routing/censoring; chưa model target</x:v>
      </x:c>
      <x:c r="G11" s="10" t="str">
        <x:v>https://github.com/susayold/credit-atlas/blob/b997c20/docs/NSMO_D02_CASE_BUILD_PLAN_VI.md</x:v>
      </x:c>
    </x:row>
    <x:row r="12" ht="50" customHeight="1">
      <x:c r="A12" s="9" t="str">
        <x:v>NMDB New</x:v>
      </x:c>
      <x:c r="B12" s="18" t="n">
        <x:v>3038100</x:v>
      </x:c>
      <x:c r="C12" s="9" t="str">
        <x:v>aggregate rows</x:v>
      </x:c>
      <x:c r="D12" s="9" t="str">
        <x:v>Annual 1998–2025</x:v>
      </x:c>
      <x:c r="E12" s="9" t="str">
        <x:v>Origination market context</x:v>
      </x:c>
      <x:c r="F12" s="9" t="str">
        <x:v>Đã audited; chưa app/Excel integration; VALUE1/2 tách biệt</x:v>
      </x:c>
      <x:c r="G12" s="9" t="str">
        <x:v>https://github.com/susayold/credit-atlas/blob/b997c20/docs/FHFA_NMDB_ORIGINATION_OUTSTANDING_REVIEW_VI.md</x:v>
      </x:c>
    </x:row>
    <x:row r="13" ht="50" customHeight="1">
      <x:c r="A13" s="10" t="str">
        <x:v>NMDB Outstanding</x:v>
      </x:c>
      <x:c r="B13" s="19" t="n">
        <x:v>535464</x:v>
      </x:c>
      <x:c r="C13" s="10" t="str">
        <x:v>aggregate rows</x:v>
      </x:c>
      <x:c r="D13" s="10" t="str">
        <x:v>2013Q1–2026Q2</x:v>
      </x:c>
      <x:c r="E13" s="10" t="str">
        <x:v>UPB / active-stock context</x:v>
      </x:c>
      <x:c r="F13" s="10" t="str">
        <x:v>Không loan performance; suppressed/missing giữ riêng</x:v>
      </x:c>
      <x:c r="G13" s="10" t="str">
        <x:v>https://github.com/susayold/credit-atlas/blob/b997c20/docs/FHFA_NMDB_ORIGINATION_OUTSTANDING_REVIEW_VI.md</x:v>
      </x:c>
    </x:row>
    <x:row r="14" ht="50" customHeight="1">
      <x:c r="A14" s="9" t="str">
        <x:v>HMDA 2018–2025</x:v>
      </x:c>
      <x:c r="B14" s="18"/>
      <x:c r="C14" s="9" t="str">
        <x:v>release-specific rows</x:v>
      </x:c>
      <x:c r="D14" s="9" t="str">
        <x:v>Three/One-Year, Snapshot/Dynamic</x:v>
      </x:c>
      <x:c r="E14" s="9" t="str">
        <x:v>D08 application/decision</x:v>
      </x:c>
      <x:c r="F14" s="9" t="str">
        <x:v>Không cộng releases; 2018 có 1.961 rows quarantine</x:v>
      </x:c>
      <x:c r="G14" s="9" t="str">
        <x:v>https://github.com/susayold/credit-atlas/blob/b997c20/docs/D01_PROGRESS_AND_DATA_PRIORITY_2026-10-16_VI.md</x:v>
      </x:c>
    </x:row>
    <x:row r="15" ht="50" customHeight="1">
      <x:c r="A15" s="10" t="str">
        <x:v>SBA FOIA</x:v>
      </x:c>
      <x:c r="B15" s="19" t="n">
        <x:v>2190504</x:v>
      </x:c>
      <x:c r="C15" s="10" t="str">
        <x:v>source records</x:v>
      </x:c>
      <x:c r="D15" s="10" t="str">
        <x:v>Snapshot 2026-06-30</x:v>
      </x:c>
      <x:c r="E15" s="10" t="str">
        <x:v>P3 cohorts / sector</x:v>
      </x:c>
      <x:c r="F15" s="10" t="str">
        <x:v>Status snapshot không phải fixed-horizon PD; duplicates retained</x:v>
      </x:c>
      <x:c r="G15" s="10" t="str">
        <x:v>https://github.com/susayold/credit-atlas/blob/b997c20/docs/SBA_BUSINESS_DATA_CONTRACT.md</x:v>
      </x:c>
    </x:row>
    <x:row r="16" ht="50" customHeight="1">
      <x:c r="A16" s="9" t="str">
        <x:v>UCI365</x:v>
      </x:c>
      <x:c r="B16" s="18" t="n">
        <x:v>43405</x:v>
      </x:c>
      <x:c r="C16" s="9" t="str">
        <x:v>statements</x:v>
      </x:c>
      <x:c r="D16" s="9" t="str">
        <x:v>5 source horizons</x:v>
      </x:c>
      <x:c r="E16" s="9" t="str">
        <x:v>P3 bankruptcy benchmark</x:v>
      </x:c>
      <x:c r="F16" s="9" t="str">
        <x:v>One-year subset 5.910 rows; thiếu firm IDs/publication dates</x:v>
      </x:c>
      <x:c r="G16" s="9" t="str">
        <x:v>https://github.com/susayold/credit-atlas/blob/b997c20/docs/BANKRUPTCY_FINAL_MODEL_CARD.md</x:v>
      </x:c>
    </x:row>
    <x:row r="17" ht="50" customHeight="1">
      <x:c r="A17" s="10" t="str">
        <x:v>SEC financials</x:v>
      </x:c>
      <x:c r="B17" s="19" t="n">
        <x:v>105441</x:v>
      </x:c>
      <x:c r="C17" s="10" t="str">
        <x:v>source facts</x:v>
      </x:c>
      <x:c r="D17" s="10" t="str">
        <x:v>Filing-specific</x:v>
      </x:c>
      <x:c r="E17" s="10" t="str">
        <x:v>P3 ratios / memo</x:v>
      </x:c>
      <x:c r="F17" s="10" t="str">
        <x:v>67 annual research statements của bốn issuers ở snapshot ghi nhận</x:v>
      </x:c>
      <x:c r="G17" s="10" t="str">
        <x:v>https://github.com/susayold/credit-atlas/blob/b997c20/docs/SEC_ISSUER_FINANCIALS_WORKFLOW.md</x:v>
      </x:c>
    </x:row>
    <x:row r="18" ht="50" customHeight="1">
      <x:c r="A18" s="9" t="str">
        <x:v>FDIC</x:v>
      </x:c>
      <x:c r="B18" s="18" t="n">
        <x:v>214809</x:v>
      </x:c>
      <x:c r="C18" s="9" t="str">
        <x:v>bank-quarter reports</x:v>
      </x:c>
      <x:c r="D18" s="9" t="str">
        <x:v>42 quarters 2016Q1–2026Q2</x:v>
      </x:c>
      <x:c r="E18" s="9" t="str">
        <x:v>P4 bank observatory</x:v>
      </x:c>
      <x:c r="F18" s="9" t="str">
        <x:v>Không borrower loan book; publication/merger conventions còn mở</x:v>
      </x:c>
      <x:c r="G18" s="9" t="str">
        <x:v>https://github.com/susayold/credit-atlas/blob/b997c20/docs/FDIC_BANK_PANEL_WORKFLOW.md</x:v>
      </x:c>
    </x:row>
    <x:row r="19" ht="50" customHeight="1">
      <x:c r="A19" s="10" t="str">
        <x:v>Exposure actual</x:v>
      </x:c>
      <x:c r="B19" s="19" t="n">
        <x:v>9698</x:v>
      </x:c>
      <x:c r="C19" s="10" t="str">
        <x:v>observations</x:v>
      </x:c>
      <x:c r="D19" s="10" t="str">
        <x:v>2026-03</x:v>
      </x:c>
      <x:c r="E19" s="10" t="str">
        <x:v>P4 concentration / movement</x:v>
      </x:c>
      <x:c r="F19" s="10" t="str">
        <x:v>UPB USD 915.208.989,12; risk/cashflow assumptions giữ riêng</x:v>
      </x:c>
      <x:c r="G19" s="10" t="str">
        <x:v>https://github.com/susayold/credit-atlas/blob/b997c20/docs/EXPOSURE_IMPORT_WORKFLOW.md</x:v>
      </x:c>
    </x:row>
    <x:row r="20" ht="50" customHeight="1">
      <x:c r="A20" s="9" t="str">
        <x:v>Toyota 2022-B</x:v>
      </x:c>
      <x:c r="B20" s="18" t="n">
        <x:v>2508991</x:v>
      </x:c>
      <x:c r="C20" s="9" t="str">
        <x:v>asset row-months</x:v>
      </x:c>
      <x:c r="D20" s="9" t="str">
        <x:v>51 monthly periods</x:v>
      </x:c>
      <x:c r="E20" s="9" t="str">
        <x:v>P5 surveillance</x:v>
      </x:c>
      <x:c r="F20" s="9" t="str">
        <x:v>77.626 asset keys; recovery mismatch chưa resolve</x:v>
      </x:c>
      <x:c r="G20" s="9" t="str">
        <x:v>https://github.com/susayold/credit-atlas/blob/b997c20/docs/TOYOTA_2024B_VALIDATION_RESEARCH_VI.md</x:v>
      </x:c>
    </x:row>
    <x:row r="21" ht="50" customHeight="1">
      <x:c r="A21" s="10" t="str">
        <x:v>Toyota 2024-B</x:v>
      </x:c>
      <x:c r="B21" s="19" t="n">
        <x:v>1518106</x:v>
      </x:c>
      <x:c r="C21" s="10" t="str">
        <x:v>asset row-months</x:v>
      </x:c>
      <x:c r="D21" s="10" t="str">
        <x:v>29 periods 04/2024–08/2026</x:v>
      </x:c>
      <x:c r="E21" s="10" t="str">
        <x:v>P5 surveillance</x:v>
      </x:c>
      <x:c r="F21" s="10" t="str">
        <x:v>70.254 keys; recovery tie-out 1/29 exact</x:v>
      </x:c>
      <x:c r="G21" s="10" t="str">
        <x:v>https://github.com/susayold/credit-atlas/blob/b997c20/docs/TOYOTA_2024B_VALIDATION_RESEARCH_VI.md</x:v>
      </x:c>
    </x:row>
    <x:row r="22" ht="50" customHeight="1">
      <x:c r="A22" s="9" t="str">
        <x:v>Nissan 2024-B</x:v>
      </x:c>
      <x:c r="B22" s="18" t="n">
        <x:v>1154259</x:v>
      </x:c>
      <x:c r="C22" s="9" t="str">
        <x:v>asset row-months</x:v>
      </x:c>
      <x:c r="D22" s="9" t="str">
        <x:v>23 periods 10/2024–08/2026</x:v>
      </x:c>
      <x:c r="E22" s="9" t="str">
        <x:v>P5 external issuer source audit</x:v>
      </x:c>
      <x:c r="F22" s="9" t="str">
        <x:v>63.688 keys; event/recovery/DPD exceptions, chưa model validation</x:v>
      </x:c>
      <x:c r="G22" s="9" t="str">
        <x:v>https://github.com/susayold/credit-atlas/blob/b997c20/docs/NISSAN_2024B_EXTERNAL_VALIDATION_VI.md</x:v>
      </x:c>
    </x:row>
    <x:row r="23" ht="50" customHeight="1">
      <x:c r="A23" s="10" t="str">
        <x:v>Ginnie production</x:v>
      </x:c>
      <x:c r="B23" s="19"/>
      <x:c r="C23" s="10" t="str">
        <x:v>not acquired</x:v>
      </x:c>
      <x:c r="D23" s="10" t="str">
        <x:v>Quarterly pilot planned</x:v>
      </x:c>
      <x:c r="E23" s="10" t="str">
        <x:v>Separate MBS case</x:v>
      </x:c>
      <x:c r="F23" s="10" t="str">
        <x:v>Đã accept terms; chưa session-file path; sample chỉ chứng minh parser</x:v>
      </x:c>
      <x:c r="G23" s="10" t="str">
        <x:v>https://github.com/susayold/credit-atlas/blob/b997c20/docs/GINNIE_MAE_LOAN_PERFORMANCE_SOURCE_REVIEW_VI.md</x:v>
      </x:c>
    </x:row>
    <x:row r="24" ht="50" customHeight="1">
      <x:c r="A24" s="9" t="str">
        <x:v>World Omni 2025-A</x:v>
      </x:c>
      <x:c r="B24" s="18" t="n">
        <x:v>20</x:v>
      </x:c>
      <x:c r="C24" s="9" t="str">
        <x:v>monthly certificates</x:v>
      </x:c>
      <x:c r="D24" s="9" t="str">
        <x:v>Pinned servicing history</x:v>
      </x:c>
      <x:c r="E24" s="9" t="str">
        <x:v>P5 cash bridge / waterfall</x:v>
      </x:c>
      <x:c r="F24" s="9" t="str">
        <x:v>2.980 typed metrics; full legal regimes / Conversion Date chưa đủ</x:v>
      </x:c>
      <x:c r="G24" s="9" t="str">
        <x:v>https://github.com/susayold/credit-atlas/blob/b997c20/docs/STRUCTURED_ABS_SOURCE_WORKFLOW.md</x:v>
      </x:c>
    </x:row>
    <x:row r="25" ht="50" customHeight="1">
      <x:c r="A25" s="10" t="str">
        <x:v>World Bank WDI</x:v>
      </x:c>
      <x:c r="B25" s="19" t="n">
        <x:v>122892</x:v>
      </x:c>
      <x:c r="C25" s="10" t="str">
        <x:v>annual observations</x:v>
      </x:c>
      <x:c r="D25" s="10" t="str">
        <x:v>1960–2025, 7 indicators</x:v>
      </x:c>
      <x:c r="E25" s="10" t="str">
        <x:v>P4 country context</x:v>
      </x:c>
      <x:c r="F25" s="10" t="str">
        <x:v>217 economies / 49 aggregates riêng; không sovereign PD</x:v>
      </x:c>
      <x:c r="G25" s="10" t="str">
        <x:v>https://github.com/susayold/credit-atlas/blob/b997c20/docs/COUNTRY_OBSERVATORY_WORKFLOW.md</x:v>
      </x:c>
    </x:row>
    <x:row r="26" ht="50" customHeight="1">
      <x:c r="A26" s="9" t="str">
        <x:v>Sovereign archive</x:v>
      </x:c>
      <x:c r="B26" s="18" t="n">
        <x:v>42519</x:v>
      </x:c>
      <x:c r="C26" s="9" t="str">
        <x:v>edition-entity-year rows</x:v>
      </x:c>
      <x:c r="D26" s="9" t="str">
        <x:v>4 editions 2023–2026</x:v>
      </x:c>
      <x:c r="E26" s="9" t="str">
        <x:v>P4 sovereign history</x:v>
      </x:c>
      <x:c r="F26" s="9" t="str">
        <x:v>Revisions/overlap; publication availability và calibrated stress chưa đủ</x:v>
      </x:c>
      <x:c r="G26" s="9" t="str">
        <x:v>https://github.com/susayold/credit-atlas/blob/b997c20/docs/SOVEREIGN_ARCHIVE_EDITIONS_VI.md</x:v>
      </x:c>
    </x:row>
    <x:row r="27" ht="50" customHeight="1">
      <x:c r="A27" s="10" t="str">
        <x:v>Treasury HAMP</x:v>
      </x:c>
      <x:c r="B27" s="19" t="n">
        <x:v>9872074</x:v>
      </x:c>
      <x:c r="C27" s="10" t="str">
        <x:v>supplement records</x:v>
      </x:c>
      <x:c r="D27" s="10" t="str">
        <x:v>Observed 2022-01–2023-02</x:v>
      </x:c>
      <x:c r="E27" s="10" t="str">
        <x:v>Separate loss-mitigation case</x:v>
      </x:c>
      <x:c r="F27" s="10" t="str">
        <x:v>Không thêm Freddie vintage; 2018–2021 coverage chưa established</x:v>
      </x:c>
      <x:c r="G27" s="10" t="str">
        <x:v>https://github.com/susayold/credit-atlas/blob/b997c20/docs/TREASURY_HAMP_DATA_REVIEW_VI.md</x:v>
      </x:c>
    </x:row>
    <x:row r="28" ht="50" customHeight="1">
      <x:c r="A28" s="9" t="str">
        <x:v>FHFA PUDB 2025</x:v>
      </x:c>
      <x:c r="B28" s="18" t="n">
        <x:v>2093767</x:v>
      </x:c>
      <x:c r="C28" s="9" t="str">
        <x:v>source records</x:v>
      </x:c>
      <x:c r="D28" s="9" t="str">
        <x:v>2025 acquisition</x:v>
      </x:c>
      <x:c r="E28" s="9" t="str">
        <x:v>Mortgage credit-access mix</x:v>
      </x:c>
      <x:c r="F28" s="9" t="str">
        <x:v>66 fields; không monthly performance/default/denial population</x:v>
      </x:c>
      <x:c r="G28" s="9" t="str">
        <x:v>https://github.com/susayold/credit-atlas/blob/b997c20/docs/FHFA_PUDB_CREDIT_ACCESS_REVIEW_VI.md</x:v>
      </x:c>
    </x:row>
    <x:row r="29" ht="50" customHeight="1">
      <x:c r="A29" s="10" t="str">
        <x:v>NMDB Performance</x:v>
      </x:c>
      <x:c r="B29" s="19" t="n">
        <x:v>261856</x:v>
      </x:c>
      <x:c r="C29" s="10" t="str">
        <x:v>aggregate rows</x:v>
      </x:c>
      <x:c r="D29" s="10" t="str">
        <x:v>2002Q1–2026Q2</x:v>
      </x:c>
      <x:c r="E29" s="10" t="str">
        <x:v>P2 market performance context</x:v>
      </x:c>
      <x:c r="F29" s="10" t="str">
        <x:v>13 fields; context khác loan-level outcomes</x:v>
      </x:c>
      <x:c r="G29" s="10" t="str">
        <x:v>https://github.com/susayold/credit-atlas/blob/b997c20/docs/FHFA_NMDB_AGGREGATE_PERFORMANCE_VI.md</x:v>
      </x:c>
    </x:row>
    <x:row r="30" ht="24" customHeight="1">
      <x:c r="A30" s="2"/>
      <x:c r="B30" s="2"/>
      <x:c r="C30" s="2"/>
      <x:c r="D30" s="2"/>
      <x:c r="E30" s="2"/>
      <x:c r="F30" s="2"/>
      <x:c r="G30" s="2"/>
    </x:row>
    <x:row r="31" ht="24" customHeight="1">
      <x:c r="A31" s="2"/>
      <x:c r="B31" s="2"/>
      <x:c r="C31" s="2"/>
      <x:c r="D31" s="2"/>
      <x:c r="E31" s="2"/>
      <x:c r="F31" s="2"/>
      <x:c r="G31" s="2"/>
    </x:row>
    <x:row r="32" ht="24" customHeight="1">
      <x:c r="A32" s="2"/>
      <x:c r="B32" s="2"/>
      <x:c r="C32" s="2"/>
      <x:c r="D32" s="2"/>
      <x:c r="E32" s="2"/>
      <x:c r="F32" s="2"/>
      <x:c r="G32" s="2"/>
    </x:row>
  </x:sheetData>
  <x:pageMargins left="0.7" right="0.7" top="0.75" bottom="0.75" header="0.3" footer="0.3"/>
  <x:tableParts count="1">
    <x:tablePart xmlns:r="http://schemas.openxmlformats.org/officeDocument/2006/relationships" r:id="Ra2561f454771415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0" hidden="0" customWidth="1"/>
    <x:col min="2" max="2" width="70" hidden="0" customWidth="1"/>
    <x:col min="3" max="3" width="112" hidden="0" customWidth="1"/>
  </x:cols>
  <x:sheetData>
    <x:row r="1" ht="24" customHeight="1">
      <x:c r="A1" s="2"/>
      <x:c r="B1" s="2"/>
      <x:c r="C1" s="2"/>
    </x:row>
    <x:row r="2" ht="24" customHeight="1">
      <x:c r="A2" s="3" t="str">
        <x:v>Phân biệt số liệu, imputation và giả định</x:v>
      </x:c>
      <x:c r="B2" s="2"/>
      <x:c r="C2" s="2"/>
    </x:row>
    <x:row r="3" ht="24" customHeight="1">
      <x:c r="A3" s="4" t="str">
        <x:v>Không có biến forecast mới trong lượt nghiên cứu này. Các ví dụ dưới đây là phương pháp đã có hoặc gate đề xuất.</x:v>
      </x:c>
      <x:c r="B3" s="4"/>
      <x:c r="C3" s="4"/>
    </x:row>
    <x:row r="4" ht="24" customHeight="1">
      <x:c r="A4" s="2"/>
      <x:c r="B4" s="2"/>
      <x:c r="C4" s="2"/>
    </x:row>
    <x:row r="5" ht="34" customHeight="1">
      <x:c r="A5" s="8" t="str">
        <x:v>Loại giá trị</x:v>
      </x:c>
      <x:c r="B5" s="8" t="str">
        <x:v>Ví dụ hiện có</x:v>
      </x:c>
      <x:c r="C5" s="8" t="str">
        <x:v>Cách sử dụng và bằng chứng cần</x:v>
      </x:c>
    </x:row>
    <x:row r="6" ht="48" customHeight="1">
      <x:c r="A6" s="9" t="str">
        <x:v>Reported</x:v>
      </x:c>
      <x:c r="B6" s="9" t="str">
        <x:v>Source UPB, certificate net losses</x:v>
      </x:c>
      <x:c r="C6" s="9" t="str">
        <x:v>Giữ sign, unit, date và source reference</x:v>
      </x:c>
    </x:row>
    <x:row r="7" ht="48" customHeight="1">
      <x:c r="A7" s="10" t="str">
        <x:v>Derived</x:v>
      </x:c>
      <x:c r="B7" s="10" t="str">
        <x:v>Count shares, ratios, movement</x:v>
      </x:c>
      <x:c r="C7" s="10" t="str">
        <x:v>Ghi numerator/denominator/filter/formula và reconcile</x:v>
      </x:c>
    </x:row>
    <x:row r="8" ht="48" customHeight="1">
      <x:c r="A8" s="9" t="str">
        <x:v>Publisher-imputed / mixed provenance</x:v>
      </x:c>
      <x:c r="B8" s="9" t="str">
        <x:v>Một số NSMO X fields</x:v>
      </x:c>
      <x:c r="C8" s="9" t="str">
        <x:v>Ghi technical method nguồn; PUF thiếu item-level J flags nên không gán chắc trạng thái từng cell</x:v>
      </x:c>
    </x:row>
    <x:row r="9" ht="48" customHeight="1">
      <x:c r="A9" s="10" t="str">
        <x:v>Model preprocessing imputed</x:v>
      </x:c>
      <x:c r="B9" s="10" t="str">
        <x:v>Bankruptcy train-median</x:v>
      </x:c>
      <x:c r="C9" s="10" t="str">
        <x:v>Fit train-only, giữ missing indicators và original values; không gọi median là income/ratio quan sát</x:v>
      </x:c>
    </x:row>
    <x:row r="10" ht="48" customHeight="1">
      <x:c r="A10" s="9" t="str">
        <x:v>Model prediction</x:v>
      </x:c>
      <x:c r="B10" s="9" t="str">
        <x:v>Frozen UCI benchmark probabilities</x:v>
      </x:c>
      <x:c r="C10" s="9" t="str">
        <x:v>Target/population/horizon/model version/calibration rõ</x:v>
      </x:c>
    </x:row>
    <x:row r="11" ht="48" customHeight="1">
      <x:c r="A11" s="10" t="str">
        <x:v>Declared scenario</x:v>
      </x:c>
      <x:c r="B11" s="10" t="str">
        <x:v>P4 PD/LGD/EAD, recovery lag, EIR, weights</x:v>
      </x:c>
      <x:c r="C11" s="10" t="str">
        <x:v>Ghi ai đặt, lý do hoặc “chưa có empirical calibration”, sensitivity và intended use</x:v>
      </x:c>
    </x:row>
    <x:row r="12" ht="48" customHeight="1">
      <x:c r="A12" s="9" t="str">
        <x:v>Forecast</x:v>
      </x:c>
      <x:c r="B12" s="9" t="str">
        <x:v>Chưa có forecast mới trong lượt này</x:v>
      </x:c>
      <x:c r="C12" s="9" t="str">
        <x:v>Time-ordered backtest, naive benchmark, horizon-specific errors và intervals</x:v>
      </x:c>
    </x:row>
    <x:row r="13" ht="24" customHeight="1">
      <x:c r="A13" s="2"/>
      <x:c r="B13" s="2"/>
      <x:c r="C13" s="2"/>
    </x:row>
    <x:row r="14" ht="24" customHeight="1">
      <x:c r="A14" s="2" t="str">
        <x:v>Mỗi phương pháp mới cần: target/horizon; nguồn/as-of; missingness; research/baseline; công thức; validation; uncertainty; use/version.</x:v>
      </x:c>
      <x:c r="B14" s="2"/>
      <x:c r="C14" s="2"/>
    </x:row>
    <x:row r="15" ht="24" customHeight="1">
      <x:c r="A15" s="2"/>
      <x:c r="B15" s="2"/>
      <x:c r="C15" s="2"/>
    </x:row>
    <x:row r="16" ht="24" customHeight="1">
      <x:c r="A16" s="2"/>
      <x:c r="B16" s="2"/>
      <x:c r="C16" s="2"/>
    </x:row>
  </x:sheetData>
  <x:pageMargins left="0.7" right="0.7" top="0.75" bottom="0.75" header="0.3" footer="0.3"/>
  <x:tableParts count="1">
    <x:tablePart xmlns:r="http://schemas.openxmlformats.org/officeDocument/2006/relationships" r:id="R6a62bdb4297046a7"/>
  </x:tableParts>
</x:worksheet>
</file>